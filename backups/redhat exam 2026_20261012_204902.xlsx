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192.168.0.129\Test\Exam count\"/>
    </mc:Choice>
  </mc:AlternateContent>
  <xr:revisionPtr revIDLastSave="0" documentId="13_ncr:1_{AB590AB9-EE35-48F8-ADAE-40888DEF23F6}" xr6:coauthVersionLast="36" xr6:coauthVersionMax="36" xr10:uidLastSave="{00000000-0000-0000-0000-000000000000}"/>
  <bookViews>
    <workbookView xWindow="0" yWindow="0" windowWidth="19200" windowHeight="6520" firstSheet="4" activeTab="9" xr2:uid="{00000000-000D-0000-FFFF-FFFF00000000}"/>
  </bookViews>
  <sheets>
    <sheet name="JAN" sheetId="1" r:id="rId1"/>
    <sheet name="FEB" sheetId="2" r:id="rId2"/>
    <sheet name="MAR" sheetId="3" r:id="rId3"/>
    <sheet name="APR" sheetId="4" r:id="rId4"/>
    <sheet name="May" sheetId="5" r:id="rId5"/>
    <sheet name="JUN" sheetId="6" r:id="rId6"/>
    <sheet name="JUL" sheetId="7" r:id="rId7"/>
    <sheet name="AUG" sheetId="8" r:id="rId8"/>
    <sheet name="SEP" sheetId="9" r:id="rId9"/>
    <sheet name="OCT" sheetId="10" r:id="rId10"/>
  </sheets>
  <definedNames>
    <definedName name="_xlnm._FilterDatabase" localSheetId="3" hidden="1">APR!$A$27:$AB$69</definedName>
    <definedName name="_xlnm._FilterDatabase" localSheetId="7" hidden="1">AUG!$A$29:$AB$74</definedName>
    <definedName name="_xlnm._FilterDatabase" localSheetId="1" hidden="1">FEB!$A$27:$AB$73</definedName>
    <definedName name="_xlnm._FilterDatabase" localSheetId="0" hidden="1">JAN!$A$21:$AA$79</definedName>
    <definedName name="_xlnm._FilterDatabase" localSheetId="6" hidden="1">JUL!$A$31:$AB$83</definedName>
    <definedName name="_xlnm._FilterDatabase" localSheetId="5" hidden="1">JUN!$A$31:$AA$81</definedName>
    <definedName name="_xlnm._FilterDatabase" localSheetId="2" hidden="1">MAR!$A$28:$AA$90</definedName>
    <definedName name="_xlnm._FilterDatabase" localSheetId="4" hidden="1">May!$A$28:$Z$59</definedName>
    <definedName name="_xlnm._FilterDatabase" localSheetId="9" hidden="1">OCT!$A$29:$AB$37</definedName>
    <definedName name="_xlnm._FilterDatabase" localSheetId="8" hidden="1">SEP!$A$29:$AB$96</definedName>
  </definedNames>
  <calcPr calcId="191029"/>
</workbook>
</file>

<file path=xl/calcChain.xml><?xml version="1.0" encoding="utf-8"?>
<calcChain xmlns="http://schemas.openxmlformats.org/spreadsheetml/2006/main">
  <c r="E24" i="10" l="1"/>
  <c r="E23" i="10"/>
  <c r="E22" i="10"/>
  <c r="E21" i="10"/>
  <c r="E20" i="10"/>
  <c r="E19" i="10"/>
  <c r="E18" i="10"/>
  <c r="E17" i="10"/>
  <c r="E16" i="10"/>
  <c r="E15" i="10"/>
  <c r="E14" i="10"/>
  <c r="E13" i="10"/>
  <c r="E12" i="10"/>
  <c r="E11" i="10"/>
  <c r="E10" i="10"/>
  <c r="E9" i="10"/>
  <c r="E8" i="10"/>
  <c r="E7" i="10"/>
  <c r="E6" i="10"/>
  <c r="E5" i="10"/>
  <c r="E4" i="10"/>
  <c r="E3" i="10"/>
  <c r="E25" i="10" s="1"/>
  <c r="K100" i="9"/>
  <c r="I100" i="9"/>
  <c r="E23" i="9"/>
  <c r="E22" i="9"/>
  <c r="E21" i="9"/>
  <c r="E20" i="9"/>
  <c r="E19" i="9"/>
  <c r="E18" i="9"/>
  <c r="E17" i="9"/>
  <c r="E16" i="9"/>
  <c r="E15" i="9"/>
  <c r="E14" i="9"/>
  <c r="E13" i="9"/>
  <c r="E12" i="9"/>
  <c r="E11" i="9"/>
  <c r="E10" i="9"/>
  <c r="E9" i="9"/>
  <c r="E8" i="9"/>
  <c r="E7" i="9"/>
  <c r="E6" i="9"/>
  <c r="E5" i="9"/>
  <c r="E4" i="9"/>
  <c r="E3" i="9"/>
  <c r="E25" i="9" s="1"/>
  <c r="K77" i="8"/>
  <c r="I77" i="8"/>
  <c r="E25" i="8"/>
  <c r="K86" i="7"/>
  <c r="I86" i="7"/>
  <c r="K84" i="6"/>
  <c r="I84" i="6"/>
  <c r="K62" i="5"/>
  <c r="I62" i="5"/>
  <c r="D22" i="5"/>
  <c r="C22" i="5"/>
  <c r="B22" i="5"/>
  <c r="E21" i="5"/>
  <c r="E20" i="5"/>
  <c r="E19" i="5"/>
  <c r="E18" i="5"/>
  <c r="E17" i="5"/>
  <c r="E16" i="5"/>
  <c r="E15" i="5"/>
  <c r="E14" i="5"/>
  <c r="E13" i="5"/>
  <c r="E12" i="5"/>
  <c r="E11" i="5"/>
  <c r="E10" i="5"/>
  <c r="E9" i="5"/>
  <c r="E8" i="5"/>
  <c r="E7" i="5"/>
  <c r="E6" i="5"/>
  <c r="E5" i="5"/>
  <c r="E4" i="5"/>
  <c r="E3" i="5"/>
  <c r="E23" i="5" s="1"/>
  <c r="K72" i="4"/>
  <c r="I72" i="4"/>
  <c r="D22" i="4"/>
  <c r="C22" i="4"/>
  <c r="B22" i="4"/>
  <c r="E21" i="4"/>
  <c r="E20" i="4"/>
  <c r="E19" i="4"/>
  <c r="E18" i="4"/>
  <c r="E17" i="4"/>
  <c r="E16" i="4"/>
  <c r="E15" i="4"/>
  <c r="E14" i="4"/>
  <c r="E13" i="4"/>
  <c r="E12" i="4"/>
  <c r="E11" i="4"/>
  <c r="E10" i="4"/>
  <c r="E9" i="4"/>
  <c r="E8" i="4"/>
  <c r="E7" i="4"/>
  <c r="E6" i="4"/>
  <c r="E5" i="4"/>
  <c r="E4" i="4"/>
  <c r="E23" i="4" s="1"/>
  <c r="E3" i="4"/>
  <c r="K93" i="3"/>
  <c r="I93" i="3"/>
  <c r="D24" i="3"/>
  <c r="C24" i="3"/>
  <c r="B24" i="3"/>
  <c r="E23" i="3"/>
  <c r="E22" i="3"/>
  <c r="E21" i="3"/>
  <c r="E20" i="3"/>
  <c r="E19" i="3"/>
  <c r="E18" i="3"/>
  <c r="E17" i="3"/>
  <c r="E16" i="3"/>
  <c r="E15" i="3"/>
  <c r="E14" i="3"/>
  <c r="E13" i="3"/>
  <c r="E12" i="3"/>
  <c r="E11" i="3"/>
  <c r="E10" i="3"/>
  <c r="E9" i="3"/>
  <c r="E8" i="3"/>
  <c r="E7" i="3"/>
  <c r="E6" i="3"/>
  <c r="E5" i="3"/>
  <c r="E4" i="3"/>
  <c r="E3" i="3"/>
  <c r="E25" i="3" s="1"/>
  <c r="K76" i="2"/>
  <c r="I76" i="2"/>
  <c r="T82" i="1"/>
  <c r="K82" i="1"/>
  <c r="I82" i="1"/>
  <c r="D18" i="1"/>
  <c r="C18" i="1"/>
  <c r="B18" i="1"/>
  <c r="E17" i="1"/>
  <c r="E16" i="1"/>
  <c r="E15" i="1"/>
  <c r="E14" i="1"/>
  <c r="E13" i="1"/>
  <c r="E12" i="1"/>
  <c r="E11" i="1"/>
  <c r="E10" i="1"/>
  <c r="E9" i="1"/>
  <c r="E8" i="1"/>
  <c r="E7" i="1"/>
  <c r="E6" i="1"/>
  <c r="E5" i="1"/>
  <c r="E19" i="1" s="1"/>
  <c r="E4" i="1"/>
  <c r="E3" i="1"/>
</calcChain>
</file>

<file path=xl/sharedStrings.xml><?xml version="1.0" encoding="utf-8"?>
<sst xmlns="http://schemas.openxmlformats.org/spreadsheetml/2006/main" count="7439" uniqueCount="1760">
  <si>
    <t>january KIOSK EXAM 00:00AM to 23:45PM</t>
  </si>
  <si>
    <t>Date</t>
  </si>
  <si>
    <t>exam number</t>
  </si>
  <si>
    <t>Total per room</t>
  </si>
  <si>
    <t>Total</t>
  </si>
  <si>
    <t>Name</t>
  </si>
  <si>
    <t>Phone no</t>
  </si>
  <si>
    <t>Email ID</t>
  </si>
  <si>
    <t>Exem Code</t>
  </si>
  <si>
    <t>Exam status</t>
  </si>
  <si>
    <t>Our Student Y/N</t>
  </si>
  <si>
    <t>Advantage Pro Feedback form</t>
  </si>
  <si>
    <t>Remark</t>
  </si>
  <si>
    <t>Google Review</t>
  </si>
  <si>
    <t>Truecaller Verify</t>
  </si>
  <si>
    <t>Thank you msg send from WhatsApp</t>
  </si>
  <si>
    <t>Thank you msg send from Mail</t>
  </si>
  <si>
    <t>WhatsApp message delivered</t>
  </si>
  <si>
    <t>Mail message delivered</t>
  </si>
  <si>
    <t>Company Name</t>
  </si>
  <si>
    <t>Designation</t>
  </si>
  <si>
    <t>linkedin id</t>
  </si>
  <si>
    <t>LinkedIn Join</t>
  </si>
  <si>
    <t>RHCSA</t>
  </si>
  <si>
    <t>RHCE</t>
  </si>
  <si>
    <t>EX280</t>
  </si>
  <si>
    <t>EX374</t>
  </si>
  <si>
    <t>AWS</t>
  </si>
  <si>
    <t>AZURE</t>
  </si>
  <si>
    <t>CKA</t>
  </si>
  <si>
    <t>Sai Prasanth Venkateswaran</t>
  </si>
  <si>
    <t>sai.prasanth@koenig-solutions.com</t>
  </si>
  <si>
    <t>EX248</t>
  </si>
  <si>
    <t>y</t>
  </si>
  <si>
    <t>yes</t>
  </si>
  <si>
    <t>Smooth experience. No issues during exam.</t>
  </si>
  <si>
    <t>no</t>
  </si>
  <si>
    <t>n</t>
  </si>
  <si>
    <t>Senior Hardware Design Engineer</t>
  </si>
  <si>
    <t>https://www.linkedin.com/in/guru-sai-prasanth-62672ab3</t>
  </si>
  <si>
    <t>join</t>
  </si>
  <si>
    <t>Subashsankar S</t>
  </si>
  <si>
    <t>subash.sankar5000@gmail.com</t>
  </si>
  <si>
    <t>EX380</t>
  </si>
  <si>
    <t>5G RAN Engineer</t>
  </si>
  <si>
    <t>https://www.linkedin.com/in/subashsankar-selvaraj-7256404a</t>
  </si>
  <si>
    <t>sedhumadhavan V</t>
  </si>
  <si>
    <t>sedhumadhavan251@gmail.com</t>
  </si>
  <si>
    <t>EX200</t>
  </si>
  <si>
    <t>I'm not get the lab access till now</t>
  </si>
  <si>
    <t xml:space="preserve">Net access </t>
  </si>
  <si>
    <t>Senior system engineer</t>
  </si>
  <si>
    <t>https://www.linkedin.com/in/sedhumadhavanv</t>
  </si>
  <si>
    <t>Aravinth Kumar J G</t>
  </si>
  <si>
    <t>jgaravinth@gmail.com</t>
  </si>
  <si>
    <t>EX267</t>
  </si>
  <si>
    <t>Exam place is good and clean.</t>
  </si>
  <si>
    <t>Novamesh Limited</t>
  </si>
  <si>
    <t>Linux Adminstrator</t>
  </si>
  <si>
    <t>https://www.linkedin.com/in/aravinth-kumar-038711a1</t>
  </si>
  <si>
    <t>Naveen S</t>
  </si>
  <si>
    <t>franknaveen3107@gmail.com</t>
  </si>
  <si>
    <t>retake</t>
  </si>
  <si>
    <t>Overall Good</t>
  </si>
  <si>
    <t>https://www.linkedin.com/in/naveen-frank-2b4974330</t>
  </si>
  <si>
    <t>Ganesan C</t>
  </si>
  <si>
    <t>ganesan.chinnayan@cognizant.com</t>
  </si>
  <si>
    <t>Good</t>
  </si>
  <si>
    <t xml:space="preserve">Partho Das
</t>
  </si>
  <si>
    <t>daspratha@gmail.com</t>
  </si>
  <si>
    <t>Good place to learn and practice Linux and build the confidence to get certified.</t>
  </si>
  <si>
    <t>Lia Infraservices(opc) pvt ltd</t>
  </si>
  <si>
    <t>https://www.linkedin.com/in/partho-das-2a872830</t>
  </si>
  <si>
    <t>Usham Roy</t>
  </si>
  <si>
    <t>ushamroy80@gmail.com</t>
  </si>
  <si>
    <t>Tech Enthusiast</t>
  </si>
  <si>
    <t>https://www.linkedin.com/in/ushamroy</t>
  </si>
  <si>
    <t>Anwesha Roy</t>
  </si>
  <si>
    <t>royanweshasmx@gmail.com</t>
  </si>
  <si>
    <t>Student at SRM</t>
  </si>
  <si>
    <t>https://www.linkedin.com/in/anwesharoy80</t>
  </si>
  <si>
    <t>Satheesh Palani</t>
  </si>
  <si>
    <t>psathe10@ford.com</t>
  </si>
  <si>
    <t>EX370</t>
  </si>
  <si>
    <t>Santhakumar R</t>
  </si>
  <si>
    <t>santhakumar.raj@gmail.com</t>
  </si>
  <si>
    <t>EX294</t>
  </si>
  <si>
    <t>Middleware Administrator</t>
  </si>
  <si>
    <t>https://www.linkedin.com/in/santha-kumar-67244750</t>
  </si>
  <si>
    <t>Narrenthiran G</t>
  </si>
  <si>
    <t>narrenthiran2001@gmail.com</t>
  </si>
  <si>
    <t>It was good experience and knowledge boosting sessions with your team and thanks for sessions and guidance once again</t>
  </si>
  <si>
    <t>Nokia Solutions and Networks</t>
  </si>
  <si>
    <t>OSS Admin</t>
  </si>
  <si>
    <t>https://www.linkedin.com/in/narrenthiran-g-aa9885349</t>
  </si>
  <si>
    <t>DEVENDRAN SENTHOORPANDIAN</t>
  </si>
  <si>
    <t>devendran.meenatchi@gmail.com</t>
  </si>
  <si>
    <t>A</t>
  </si>
  <si>
    <t>Dhanasekhar Nandhini</t>
  </si>
  <si>
    <t>nandhini1462709@gmail.com</t>
  </si>
  <si>
    <t>BNP paribas</t>
  </si>
  <si>
    <t>Service Reliability Engineer</t>
  </si>
  <si>
    <t>https://www.linkedin.com/in/nandhini-dhanasekhar-8b4a97221</t>
  </si>
  <si>
    <t>Venkata Ruchitha Setty</t>
  </si>
  <si>
    <t>s.venkataruchitha@dxc.com</t>
  </si>
  <si>
    <t xml:space="preserve">Jana Sudheer
</t>
  </si>
  <si>
    <t>sudheer.jana@dxc.com</t>
  </si>
  <si>
    <t>Palani Sickkamuri Muthu</t>
  </si>
  <si>
    <t>palani.sickkamuri-muthu@dxc.com</t>
  </si>
  <si>
    <t xml:space="preserve">Good environment </t>
  </si>
  <si>
    <t>Hewlett-Packard ( HP )</t>
  </si>
  <si>
    <t>Ramya V</t>
  </si>
  <si>
    <t>ramyavenkat065@gmail.com</t>
  </si>
  <si>
    <t>Technical analyst</t>
  </si>
  <si>
    <t>https://www.linkedin.com/in/ramya-v-031037232</t>
  </si>
  <si>
    <t>Vimal K</t>
  </si>
  <si>
    <t>vimal.k.hk@hitachi-systems.com</t>
  </si>
  <si>
    <t>Hitachi Systems India</t>
  </si>
  <si>
    <t>VMware Administrator</t>
  </si>
  <si>
    <t>https://www.linkedin.com/in/vimal-k-7a06b923b</t>
  </si>
  <si>
    <t xml:space="preserve">G Gnana Sekhar
</t>
  </si>
  <si>
    <t>gnanasekhar66@hotmail.com</t>
  </si>
  <si>
    <t>Devops engineer</t>
  </si>
  <si>
    <t>https://www.linkedin.com/in/g-gnana-sekhar-0a766591/</t>
  </si>
  <si>
    <t>Huzair Ahmed</t>
  </si>
  <si>
    <t>huzairahmedr@presidio.com</t>
  </si>
  <si>
    <t>Very good environment for an exam</t>
  </si>
  <si>
    <t>Presidio Inc</t>
  </si>
  <si>
    <t>S Kartheesan</t>
  </si>
  <si>
    <t>kartheesan.subramaniam.hq@hitachi-systems.com</t>
  </si>
  <si>
    <t xml:space="preserve">
EX294</t>
  </si>
  <si>
    <t xml:space="preserve">Jebastine Asir A
</t>
  </si>
  <si>
    <t>jebastine.a.hp@hitachi-systems.com</t>
  </si>
  <si>
    <t xml:space="preserve">Overall study experience was good </t>
  </si>
  <si>
    <t>Kathiresan M</t>
  </si>
  <si>
    <t>m.kathiresan.jn@hitachi-systems.com</t>
  </si>
  <si>
    <t>S Leo Prabu</t>
  </si>
  <si>
    <t>leoprabumca@gmail.com</t>
  </si>
  <si>
    <t>Yes it's good environment for exam. Compare with ose labs</t>
  </si>
  <si>
    <t>Operations Engineer </t>
  </si>
  <si>
    <t>https://www.linkedin.com/in/leoprabu</t>
  </si>
  <si>
    <t xml:space="preserve">Vinothkumar K
</t>
  </si>
  <si>
    <t>vksvinoth9@gmail.com</t>
  </si>
  <si>
    <t>Vetrivel Devasenapathi</t>
  </si>
  <si>
    <t>vetrid2017@gmail.com</t>
  </si>
  <si>
    <t>KASI KATHAVARAYAN</t>
  </si>
  <si>
    <t>kkasib.tech@hotmail.com</t>
  </si>
  <si>
    <t xml:space="preserve">Very good training </t>
  </si>
  <si>
    <t>CMA CGM GBSI</t>
  </si>
  <si>
    <t>Service Desk specialist</t>
  </si>
  <si>
    <t>https://www.linkedin.com/in/kasi-k-316a2b166</t>
  </si>
  <si>
    <t>Kannan Raman</t>
  </si>
  <si>
    <t>kannanraman235@gmail.com</t>
  </si>
  <si>
    <t>Tata Consultancy Services (TCS)</t>
  </si>
  <si>
    <t>Employee</t>
  </si>
  <si>
    <t>https://www.linkedin.com/in/kannan-r-b84782218</t>
  </si>
  <si>
    <t>Anand babu M</t>
  </si>
  <si>
    <t>anandbabu.mano@gmail.com</t>
  </si>
  <si>
    <t>Senior SME STORAGE</t>
  </si>
  <si>
    <t>https://www.linkedin.com/in/anand-babu-manoharan-aa017280</t>
  </si>
  <si>
    <t>Bhavani M</t>
  </si>
  <si>
    <t>bhavani.mohan@citi.com</t>
  </si>
  <si>
    <t>Good support. No issues found</t>
  </si>
  <si>
    <t>Citi Bank</t>
  </si>
  <si>
    <t>https://www.linkedin.com/in/bhavani-mohan-7b49a9385/</t>
  </si>
  <si>
    <t>Balamurugan Saravanan</t>
  </si>
  <si>
    <t>balamurugansaravanan2005@gmail.com</t>
  </si>
  <si>
    <t>OSS Engineer</t>
  </si>
  <si>
    <t>https://www.linkedin.com/in/s-balamurugan-a985b7290/</t>
  </si>
  <si>
    <t>Nagarajan .</t>
  </si>
  <si>
    <t>nagarajan.j.hf@hitachi-systems.com</t>
  </si>
  <si>
    <t>Archana .</t>
  </si>
  <si>
    <t>jk.archana5@gmail.com</t>
  </si>
  <si>
    <t>SARAVANAN Balakrishnan</t>
  </si>
  <si>
    <t>bsaravanan933@gmail.com</t>
  </si>
  <si>
    <t>Telisiya</t>
  </si>
  <si>
    <t>GitHub actions</t>
  </si>
  <si>
    <t>https://www.linkedin.com/in/saravanan-balakrishnan-39a776170/</t>
  </si>
  <si>
    <t>Salava Ram Mohan</t>
  </si>
  <si>
    <t>rammohan.salava.gx@hitachi-systems.com</t>
  </si>
  <si>
    <t xml:space="preserve">Hitachi systems India </t>
  </si>
  <si>
    <t>Dinesh Chand S</t>
  </si>
  <si>
    <t>dineshchandmpc@gmail.com</t>
  </si>
  <si>
    <t xml:space="preserve">Good guidance from start to end thanks </t>
  </si>
  <si>
    <t>Oracle Cloud </t>
  </si>
  <si>
    <t>https://www.linkedin.com/in/dinesh-chand-ba7123168/</t>
  </si>
  <si>
    <t>Gopinath G</t>
  </si>
  <si>
    <t>ggopinathr@gmail.com</t>
  </si>
  <si>
    <t>Wonderful</t>
  </si>
  <si>
    <t>Rntbci</t>
  </si>
  <si>
    <t>Lead Architect </t>
  </si>
  <si>
    <t>https://www.linkedin.com/in/gopinath-g-232141122/?external_page=LPC.Immersive&amp;external_control=ViewProfileLink&amp;external_app_instance=75dac2a6-d5e4-4448-b90b-4f00fc300043&amp;external_page_instance=097c0183-0365-4712-81df-13e41109365c&amp;experiment=displayLinkedInDataPrebind</t>
  </si>
  <si>
    <t>HARINI V</t>
  </si>
  <si>
    <t>hariv2401@gmail.com</t>
  </si>
  <si>
    <t>Chudalai Muthumani</t>
  </si>
  <si>
    <t>cmani@vectratech.in</t>
  </si>
  <si>
    <t>EX210</t>
  </si>
  <si>
    <t xml:space="preserve">Advantage pro </t>
  </si>
  <si>
    <t>Faculty</t>
  </si>
  <si>
    <t>EX457</t>
  </si>
  <si>
    <t>Yes</t>
  </si>
  <si>
    <t>https://www.linkedin.com/in/guru-sai-prasanth-62672ab3?external_page=LPC.Immersive&amp;external_control=ViewProfileLink&amp;external_app_instance=541d4c50-657f-4159-aa9a-a0532a427a65&amp;external_page_instance=e2ac1fcf-5ef2-46cb-be0d-1146c8c83b2e&amp;experiment=displayLinkedInDataPrebind</t>
  </si>
  <si>
    <t>Mohamed Ashiff</t>
  </si>
  <si>
    <t>ashiffcv@gmail.com</t>
  </si>
  <si>
    <t>It's very good and good support</t>
  </si>
  <si>
    <t>Infosys</t>
  </si>
  <si>
    <t>Senior Linux Engineer</t>
  </si>
  <si>
    <t>https://www.linkedin.com/in/mohamedashiffs/?external_page=LPC.Immersive&amp;external_control=ViewProfileLink&amp;external_app_instance=541d4c50-657f-4159-aa9a-a0532a427a65&amp;external_page_instance=393b974c-2c0f-4274-9660-808d727cc4e5&amp;experiment=displayLinkedInDataPrebind</t>
  </si>
  <si>
    <t>Hawkins R</t>
  </si>
  <si>
    <t>hawkinssamuel78@gmail.com</t>
  </si>
  <si>
    <t>Excellent teaching and staff.</t>
  </si>
  <si>
    <t>Wipro</t>
  </si>
  <si>
    <t>linkedin.com/in/samuel-hawkins-3558393a5?external_page=LPC.Immersive&amp;external_control=ViewProfileLink&amp;external_app_instance=541d4c50-657f-4159-aa9a-a0532a427a65&amp;external_page_instance=1f3de0ae-3b58-4929-a92c-7a50f223ca7d&amp;experiment=displayLinkedInDataPrebind</t>
  </si>
  <si>
    <t>ABISHEK MAGIDESWARAN</t>
  </si>
  <si>
    <t>m.abishek1@gmail.com</t>
  </si>
  <si>
    <t>Mentors and labs are very good.</t>
  </si>
  <si>
    <t xml:space="preserve">Student </t>
  </si>
  <si>
    <t>https://www.linkedin.com/in/m-abishek-a001733a2/?external_page=LPC.Immersive&amp;external_control=ViewProfileLink&amp;external_app_instance=541d4c50-657f-4159-aa9a-a0532a427a65&amp;external_page_instance=5565d412-f7b8-42fe-9384-2b2b7b6b38df&amp;experiment=displayLinkedInDataPrebind</t>
  </si>
  <si>
    <t>DIVYA VEMASANI</t>
  </si>
  <si>
    <t>yeshashri18@gmail.com</t>
  </si>
  <si>
    <t>No</t>
  </si>
  <si>
    <t>Vignesh M</t>
  </si>
  <si>
    <t>vigneshlight98@gmail.com</t>
  </si>
  <si>
    <t xml:space="preserve">The whole experience was good </t>
  </si>
  <si>
    <t xml:space="preserve">Process associate </t>
  </si>
  <si>
    <t>https://www.linkedin.com/in/vignesh-34x7281/?external_page=LPC.Immersive&amp;external_control=ViewProfileLink&amp;external_app_instance=541d4c50-657f-4159-aa9a-a0532a427a65&amp;external_page_instance=7e0ccedc-6461-4a6a-be2a-7c72ff1d0624&amp;experiment=displayLinkedInDataPrebind</t>
  </si>
  <si>
    <t xml:space="preserve">Prem A
</t>
  </si>
  <si>
    <t>pmahendra96@gmail.com</t>
  </si>
  <si>
    <t>System Administrator</t>
  </si>
  <si>
    <t>https://www.linkedin.com/in/prem-a-39a739220</t>
  </si>
  <si>
    <t>Sai Swaroopa SS</t>
  </si>
  <si>
    <t>sss@presidio.com</t>
  </si>
  <si>
    <t xml:space="preserve">Very well structured and smooth experience </t>
  </si>
  <si>
    <t>5 Star</t>
  </si>
  <si>
    <t>Engineer</t>
  </si>
  <si>
    <t>https://in.linkedin.com/in/saiswaroopass</t>
  </si>
  <si>
    <t>Jayaprakash P</t>
  </si>
  <si>
    <t>Jayaprakash081998@gmail.com</t>
  </si>
  <si>
    <t>Technical Support Engineer</t>
  </si>
  <si>
    <t>https://www.linkedin.com/in/jayaprakash-overview</t>
  </si>
  <si>
    <t>MAHA ARUNACHALAM</t>
  </si>
  <si>
    <t>mahaarunachalams@presidio.com</t>
  </si>
  <si>
    <t>Friendly and good experience</t>
  </si>
  <si>
    <t>https://www.linkedin.com/in/maha-arunachalam-s-424b2919a/</t>
  </si>
  <si>
    <t>Sakthivel A</t>
  </si>
  <si>
    <t>sakthi0511208@gmail.com</t>
  </si>
  <si>
    <t>EX188</t>
  </si>
  <si>
    <t>Jebastine Asir A</t>
  </si>
  <si>
    <t>Hitach systems India pvt ltd</t>
  </si>
  <si>
    <t>Balasubramanian S</t>
  </si>
  <si>
    <t>s.balasubramanian2310@gmail.com</t>
  </si>
  <si>
    <t>EX316</t>
  </si>
  <si>
    <t>https://www.linkedin.com/in/s-bala-subramanian-77bba9138</t>
  </si>
  <si>
    <t>Mary Rajam A</t>
  </si>
  <si>
    <t>maryrajamraji01@gmail.com</t>
  </si>
  <si>
    <t xml:space="preserve">Nil </t>
  </si>
  <si>
    <t>Kyndryl Solutions Pvt Ltd</t>
  </si>
  <si>
    <t>Associate Technical Engineer</t>
  </si>
  <si>
    <t>https://www.linkedin.com/in/mary-rajam-a-2b9088222</t>
  </si>
  <si>
    <t>Vinothkumar K</t>
  </si>
  <si>
    <t>Cipl</t>
  </si>
  <si>
    <t>Prasad P</t>
  </si>
  <si>
    <t>pprasad@live.in</t>
  </si>
  <si>
    <t>https://www.linkedin.com/in/prasaddp</t>
  </si>
  <si>
    <t>Dennis Maria Antony</t>
  </si>
  <si>
    <t>dmariaantony@dxc.com</t>
  </si>
  <si>
    <t xml:space="preserve">Yes very comfortable </t>
  </si>
  <si>
    <t>DXC</t>
  </si>
  <si>
    <t>Total - 58</t>
  </si>
  <si>
    <t>Our students -38</t>
  </si>
  <si>
    <t>Feedback</t>
  </si>
  <si>
    <t>Total Linkedin</t>
  </si>
  <si>
    <t>Join</t>
  </si>
  <si>
    <t>Outside students - 20</t>
  </si>
  <si>
    <t>february KIOSK EXAM 00:00AM to 23:45PM</t>
  </si>
  <si>
    <t>exam status</t>
  </si>
  <si>
    <t>EX180</t>
  </si>
  <si>
    <t>Dinesh Ravichandiran</t>
  </si>
  <si>
    <t>mailtodinesh0808@gmail.com</t>
  </si>
  <si>
    <t>Cloud NOC Technician</t>
  </si>
  <si>
    <t>https://www.linkedin.com/in/dineshravichandiran/</t>
  </si>
  <si>
    <t>Vijayan Ramasamy</t>
  </si>
  <si>
    <t>vijayanrece@hotmail.com</t>
  </si>
  <si>
    <t>https://www.linkedin.com/in/vijayan-r-8a730657/</t>
  </si>
  <si>
    <t>Bharath kumar S A</t>
  </si>
  <si>
    <t>barathkumar045@gmail.com</t>
  </si>
  <si>
    <t>Senior Platform Engineer </t>
  </si>
  <si>
    <t>https://www.linkedin.com/in/bharath-kumar-a53171a6/</t>
  </si>
  <si>
    <t>EX430</t>
  </si>
  <si>
    <t>https://www.linkedin.com/in/guru-sai-prasanth-62672ab3/</t>
  </si>
  <si>
    <t>Arunkumar R</t>
  </si>
  <si>
    <t>arunlokesh78@gmail.com</t>
  </si>
  <si>
    <t xml:space="preserve">Super </t>
  </si>
  <si>
    <t>good teachings and good explanation best for carrier growth</t>
  </si>
  <si>
    <t>Saba info</t>
  </si>
  <si>
    <t xml:space="preserve">It helpdesk </t>
  </si>
  <si>
    <t>Shata Saran KH</t>
  </si>
  <si>
    <t>shatasarankannan@gmail.com</t>
  </si>
  <si>
    <t>System Analyst</t>
  </si>
  <si>
    <t>https://www.linkedin.com/in/shatasaran-k-h-67564b249/</t>
  </si>
  <si>
    <t>Y</t>
  </si>
  <si>
    <t>Kiran Balaji krishnamurthy</t>
  </si>
  <si>
    <t>kiran2707@gmail.com</t>
  </si>
  <si>
    <t xml:space="preserve">It was a great experience to learn from advantage pro </t>
  </si>
  <si>
    <t>5star</t>
  </si>
  <si>
    <t>BNY Mellon Pvt Ltd</t>
  </si>
  <si>
    <t>Senior Associate</t>
  </si>
  <si>
    <t>https://www.linkedin.com/in/kiran-balaji-a4a2506a/</t>
  </si>
  <si>
    <t>PAUL PREMKUMAR WILSON</t>
  </si>
  <si>
    <t>paulprem52@gmail.com</t>
  </si>
  <si>
    <t>IT Manager</t>
  </si>
  <si>
    <t>https://www.linkedin.com/in/paul-premkumar-w-b45188182/</t>
  </si>
  <si>
    <t>Basha Irshad Ahamed A</t>
  </si>
  <si>
    <t>irshadahamedlinux20@gmail.com</t>
  </si>
  <si>
    <t>great</t>
  </si>
  <si>
    <t>Sify Technologies Limited</t>
  </si>
  <si>
    <t xml:space="preserve">System Engineer </t>
  </si>
  <si>
    <t>V Krishnakumar</t>
  </si>
  <si>
    <t>vkkumar1983@gmail.com</t>
  </si>
  <si>
    <t>EX467</t>
  </si>
  <si>
    <t>Linux Admin</t>
  </si>
  <si>
    <t>https://www.linkedin.com/in/krishnakumar-venkatesan-53b03256/</t>
  </si>
  <si>
    <t>Avula Naga Sanjay</t>
  </si>
  <si>
    <t>sec20cb002@sairamtap.edu.in</t>
  </si>
  <si>
    <t>Vinothraj Ganesan</t>
  </si>
  <si>
    <t>vinothraj.ganesan@hitachi-systems.co.in</t>
  </si>
  <si>
    <t>I have learned many things thank you</t>
  </si>
  <si>
    <t>Hitachi Vantara</t>
  </si>
  <si>
    <t xml:space="preserve">Technical engineer </t>
  </si>
  <si>
    <t>SOUNDAR RAJAN</t>
  </si>
  <si>
    <t>soundar033@gmail.com</t>
  </si>
  <si>
    <t>https://www.linkedin.com/in/sounder-66sounderanitha-gmail-com-bb84847b/</t>
  </si>
  <si>
    <t>Vijayalakshmi S</t>
  </si>
  <si>
    <t>vlaxmi9489@gmail.com</t>
  </si>
  <si>
    <t>https://www.linkedin.com/in/vijayalakshmi-s-1ab0b1391/</t>
  </si>
  <si>
    <t>Prem A</t>
  </si>
  <si>
    <t>If the trainers could provide a briefing on how to attend the exam, it would make the process much easier for us.</t>
  </si>
  <si>
    <t>Human Xpert India Pvt ltd</t>
  </si>
  <si>
    <t>https://www.linkedin.com/in/prem-a-39a739220/</t>
  </si>
  <si>
    <t>Sabaresh P C</t>
  </si>
  <si>
    <t>sabaresh004@gmail.com</t>
  </si>
  <si>
    <t>4star</t>
  </si>
  <si>
    <t>student</t>
  </si>
  <si>
    <t>https://www.linkedin.com/in/sabaresh-sabari-bb1605295/</t>
  </si>
  <si>
    <t>ADITYA ROY</t>
  </si>
  <si>
    <t>adityaaroyy@gmail.com</t>
  </si>
  <si>
    <t>SOC Analyst </t>
  </si>
  <si>
    <t>https://www.linkedin.com/in/aditya-roy-95b714330/</t>
  </si>
  <si>
    <t>Jaganadhan Thanigachalam</t>
  </si>
  <si>
    <t>jaganadhan1991@gmail.com</t>
  </si>
  <si>
    <t>Well maintained exam rooms</t>
  </si>
  <si>
    <t>5 star</t>
  </si>
  <si>
    <t>L&amp;T Infotech</t>
  </si>
  <si>
    <t xml:space="preserve">Senior engineer </t>
  </si>
  <si>
    <t>https://www.linkedin.com/in/jaganadhan-thanigachalam-616a8390/</t>
  </si>
  <si>
    <t>madhumitha Rajamanickam</t>
  </si>
  <si>
    <t>madhunila2001@gmail.com</t>
  </si>
  <si>
    <t>https://www.linkedin.com/in/madhumitha-rajamanickam/</t>
  </si>
  <si>
    <t>Revanth S</t>
  </si>
  <si>
    <t>sivakumarrevanth@gmail.com</t>
  </si>
  <si>
    <t>https://www.linkedin.com/in/revanth-sivakumar-87248a169/</t>
  </si>
  <si>
    <t>Kiruthiga S</t>
  </si>
  <si>
    <t>kiruthigaramani@gmail.com</t>
  </si>
  <si>
    <t>https://www.linkedin.com/in/kiruthiga-s-5355b1395/</t>
  </si>
  <si>
    <t>Mohankumar E</t>
  </si>
  <si>
    <t>mohankumar.elumalai09@gmail.com</t>
  </si>
  <si>
    <t>Excellent</t>
  </si>
  <si>
    <t>Hexaware Technologies</t>
  </si>
  <si>
    <t>Linux system engineer</t>
  </si>
  <si>
    <t>https://www.linkedin.com/in/mohankumar09/</t>
  </si>
  <si>
    <t>S V Gopi</t>
  </si>
  <si>
    <t>svmuthugopi@gmail.com</t>
  </si>
  <si>
    <t>https://www.linkedin.com/in/s-v-gopi-81aba0202/</t>
  </si>
  <si>
    <t>Lakshmi Priya E R</t>
  </si>
  <si>
    <t>lakshmipriya1102000@gmail.com</t>
  </si>
  <si>
    <t>https://www.linkedin.com/in/lakshmipriya-er-579970290/</t>
  </si>
  <si>
    <t>https://www.linkedin.com/in/s-bala-subramanian-77bba9138/</t>
  </si>
  <si>
    <t xml:space="preserve">Subashsankar S
</t>
  </si>
  <si>
    <t xml:space="preserve">
EX380</t>
  </si>
  <si>
    <t>https://www.linkedin.com/in/subashsankar-selvaraj-7256404a/</t>
  </si>
  <si>
    <t>SUGUMAR K</t>
  </si>
  <si>
    <t>k.sugumar@zohomail.in</t>
  </si>
  <si>
    <t>Thalapathi Sakthivel</t>
  </si>
  <si>
    <t>ssthala888@gmail.com</t>
  </si>
  <si>
    <t>best learning area</t>
  </si>
  <si>
    <t>UST Global</t>
  </si>
  <si>
    <t xml:space="preserve">Network optimisation </t>
  </si>
  <si>
    <t>https://www.linkedin.com/in/thalapathi-sakthivel-0a1639166/</t>
  </si>
  <si>
    <t>Sathyaraj P</t>
  </si>
  <si>
    <t>sathytce@gmail.com</t>
  </si>
  <si>
    <t>pprasad.in@gmail.com</t>
  </si>
  <si>
    <t>4 star</t>
  </si>
  <si>
    <t>TCS</t>
  </si>
  <si>
    <t>System administrator</t>
  </si>
  <si>
    <t>https://www.linkedin.com/in/prasaddp/</t>
  </si>
  <si>
    <t>Ameen Ahmed Khan</t>
  </si>
  <si>
    <t>ameenkhan7ad@gmail.com</t>
  </si>
  <si>
    <t>AYUSH ANAND GEORGE</t>
  </si>
  <si>
    <t>ayushanandgeorge12@gmail.com</t>
  </si>
  <si>
    <t xml:space="preserve">System administrator </t>
  </si>
  <si>
    <t>Kevin Sam Bilji</t>
  </si>
  <si>
    <t>kevinsam0898@gmail.com</t>
  </si>
  <si>
    <t>https://www.linkedin.com/in/kevin-bilji-6ab854354/</t>
  </si>
  <si>
    <t>Ron Tom Mathew</t>
  </si>
  <si>
    <t>ronmathew999@gmail.com</t>
  </si>
  <si>
    <t>https://www.linkedin.com/in/ron-tom-mathew-7979a03a4/</t>
  </si>
  <si>
    <t>Partho Das</t>
  </si>
  <si>
    <t>https://www.linkedin.com/in/partho-das-2a872830/</t>
  </si>
  <si>
    <t>Rajeshwari Ashok</t>
  </si>
  <si>
    <t>rajiaramya@gmail.com</t>
  </si>
  <si>
    <t xml:space="preserve">Very good experience </t>
  </si>
  <si>
    <t>Abs</t>
  </si>
  <si>
    <t>System engineer</t>
  </si>
  <si>
    <t>https://www.linkedin.com/in/rajeshwari-ashok-218a9715b/</t>
  </si>
  <si>
    <t>GUGAN KALIYAPERUMAL</t>
  </si>
  <si>
    <t>gugank27@gmail.com</t>
  </si>
  <si>
    <t>https://www.linkedin.com/in/gugan-k/</t>
  </si>
  <si>
    <t>Vignesh N</t>
  </si>
  <si>
    <t>vicky26340834@gmail.com</t>
  </si>
  <si>
    <t>https://www.linkedin.com/in/vignesh-n-271768107/</t>
  </si>
  <si>
    <t>Lalith Kumar</t>
  </si>
  <si>
    <t>Lalithlikesind@yahoo.com</t>
  </si>
  <si>
    <t>https://www.linkedin.com/in/lalith-kumar-0b441a337/</t>
  </si>
  <si>
    <t>I had a great experience with Advantage Pro. The course training and exam training was professional and completed on time. The staff was helpful and explained everything clearly. I’m satisfied with the overall quality and standards. I would definitely recommend them to others.</t>
  </si>
  <si>
    <t>NEC Asia Pacific Pte Ltd</t>
  </si>
  <si>
    <t>Senior System Engineer</t>
  </si>
  <si>
    <t>Total - 46</t>
  </si>
  <si>
    <t>Our students -36</t>
  </si>
  <si>
    <t>Outside students - 10</t>
  </si>
  <si>
    <t>march KIOSK EXAM 00:00AM to 23:45PM</t>
  </si>
  <si>
    <t>total</t>
  </si>
  <si>
    <t>ccna</t>
  </si>
  <si>
    <t>Kathirvel S</t>
  </si>
  <si>
    <t>skathirsunrise@gmail.com</t>
  </si>
  <si>
    <t>Linux Administrator</t>
  </si>
  <si>
    <t>https://www.linkedin.com/in/kathirvel369/</t>
  </si>
  <si>
    <t>Kirthana R</t>
  </si>
  <si>
    <t>kirthana.ravi.11@outlook.com</t>
  </si>
  <si>
    <t>JFrog</t>
  </si>
  <si>
    <t>DevOps</t>
  </si>
  <si>
    <t>https://www.linkedin.com/in/kirthana-ravi-9a35b5169/</t>
  </si>
  <si>
    <t>ALLTON SHIBHU JEYASEKAR</t>
  </si>
  <si>
    <t>alltonshibhu@gmail.com</t>
  </si>
  <si>
    <t>ericsson</t>
  </si>
  <si>
    <t>sr solution intergrator</t>
  </si>
  <si>
    <t>Sukumar RAMACHANDRAN</t>
  </si>
  <si>
    <t>ramsukumar26@gmail.com</t>
  </si>
  <si>
    <t>EX288</t>
  </si>
  <si>
    <t>BNP Paribas</t>
  </si>
  <si>
    <t>Technical Lead</t>
  </si>
  <si>
    <t>https://www.linkedin.com/in/sukumar-ramachandran-62682a125/</t>
  </si>
  <si>
    <t>Rajasekar Gunasekaran</t>
  </si>
  <si>
    <t>gunarajasekar@gmail.com</t>
  </si>
  <si>
    <t>birlasoft</t>
  </si>
  <si>
    <t>Associate practice director</t>
  </si>
  <si>
    <t>https://www.linkedin.com/in/mdmraj/</t>
  </si>
  <si>
    <t>Rudraksh Tewari</t>
  </si>
  <si>
    <t>rudra2005tewari@gmail.com</t>
  </si>
  <si>
    <t>https://www.linkedin.com/in/rudraksh22/</t>
  </si>
  <si>
    <t>Rajith R</t>
  </si>
  <si>
    <t>rajith.raj@gmail.com</t>
  </si>
  <si>
    <t>https://www.linkedin.com/in/rajith-r-3b606318/</t>
  </si>
  <si>
    <t>Prakhar Srivastava</t>
  </si>
  <si>
    <t>prakharbbcc@gmail.com</t>
  </si>
  <si>
    <t>Good centre, no issues.</t>
  </si>
  <si>
    <t>Student</t>
  </si>
  <si>
    <t>https://www.linkedin.com/in/prakhar-s39/</t>
  </si>
  <si>
    <t xml:space="preserve">THALES DIS (Singapore) PTE. LTD </t>
  </si>
  <si>
    <t>Senior Systems Engineer</t>
  </si>
  <si>
    <t>Devendra Rajan S</t>
  </si>
  <si>
    <t>devendrarajan.s39@wipro.com</t>
  </si>
  <si>
    <t xml:space="preserve">No comment </t>
  </si>
  <si>
    <t>Project lead</t>
  </si>
  <si>
    <t>https://www.linkedin.com/in/devendra-rajan-b1523a187/</t>
  </si>
  <si>
    <t xml:space="preserve">Venkatesan KR
</t>
  </si>
  <si>
    <t>venkatesan.kr@cognizant.com</t>
  </si>
  <si>
    <t>Verizon</t>
  </si>
  <si>
    <t>senior consoltant</t>
  </si>
  <si>
    <t>https://www.linkedin.com/in/venkatesankr/</t>
  </si>
  <si>
    <t>Deepak .</t>
  </si>
  <si>
    <t>deepakmanoharan121@gmail.com</t>
  </si>
  <si>
    <t>https://www.linkedin.com/in/deepak-m-4a5a49244/</t>
  </si>
  <si>
    <t xml:space="preserve">Good </t>
  </si>
  <si>
    <t xml:space="preserve">S Senthilnathan
</t>
  </si>
  <si>
    <t>senthilnathan.sundaresan@rapiddatatech.com</t>
  </si>
  <si>
    <t xml:space="preserve">Nice </t>
  </si>
  <si>
    <t xml:space="preserve">Rapid data technologies </t>
  </si>
  <si>
    <t>SOFTWARE</t>
  </si>
  <si>
    <t>https://www.linkedin.com/in/senthilnathan-dev/</t>
  </si>
  <si>
    <t>Good training center for all RedHat certification with wonderful lab facility. Online classes are available according to our convenience. All the training staffs are very skilled and have deep knowledge in certifications. The discussions about the topics were really good. Thanks to my trainer who helped a lot to make us understand the topics.</t>
  </si>
  <si>
    <t>Gayathri VARATHARAJAN</t>
  </si>
  <si>
    <t>gayathrivaratharajan93@gmail.com</t>
  </si>
  <si>
    <t>Amwhiz media</t>
  </si>
  <si>
    <t>Associate Project Manager</t>
  </si>
  <si>
    <t>https://www.linkedin.com/in/gayathri-varatharajan/</t>
  </si>
  <si>
    <t>yarlapati sahithi</t>
  </si>
  <si>
    <t>sy8538@srmist.edu.in</t>
  </si>
  <si>
    <t>Adrija Mondal</t>
  </si>
  <si>
    <t>am3997@srmist.edu.in</t>
  </si>
  <si>
    <t>srm student</t>
  </si>
  <si>
    <t>https://www.linkedin.com/in/adrija-mondal-421a7b304/</t>
  </si>
  <si>
    <t>Gokul Prasad D</t>
  </si>
  <si>
    <t>dgokulprasad@gmail.com</t>
  </si>
  <si>
    <t>Tata Communications</t>
  </si>
  <si>
    <t xml:space="preserve">Storage Administrator </t>
  </si>
  <si>
    <t>https://www.linkedin.com/in/gokul-prasad-d-33038866/</t>
  </si>
  <si>
    <t>Manikanda Prabhu Muthuramakrishnan</t>
  </si>
  <si>
    <t>2mkprabhu@gmail.com</t>
  </si>
  <si>
    <t>Westpac</t>
  </si>
  <si>
    <t>Security Engineer</t>
  </si>
  <si>
    <t>https://www.linkedin.com/in/mmkprabhu/</t>
  </si>
  <si>
    <t>Valiant Communications Limited</t>
  </si>
  <si>
    <t xml:space="preserve">Technical Lead </t>
  </si>
  <si>
    <t>Gopinath Jayabalan</t>
  </si>
  <si>
    <t>saigopi.2011@gmail.com</t>
  </si>
  <si>
    <t>Tamil Nadu Open University (TNOU)</t>
  </si>
  <si>
    <t xml:space="preserve">OPENSHIFT ADMINISTRATOR </t>
  </si>
  <si>
    <t>https://www.linkedin.com/in/gopinath-jayabalan-devops/</t>
  </si>
  <si>
    <t>Arul Sakthivel</t>
  </si>
  <si>
    <t>arulsakthivel.k17@gmail.com</t>
  </si>
  <si>
    <t>https://www.linkedin.com/in/arulsakthivel/</t>
  </si>
  <si>
    <t>Arun Ravichandran</t>
  </si>
  <si>
    <t>arunravichandran.rr@gmail.com</t>
  </si>
  <si>
    <t>Great support from Adv team</t>
  </si>
  <si>
    <t>World bank</t>
  </si>
  <si>
    <t>Tech lead</t>
  </si>
  <si>
    <t>https://www.linkedin.com/in/arun-ravichandran-8108ba4b/</t>
  </si>
  <si>
    <t>Dynacons Systems &amp; Solutions Ltd.</t>
  </si>
  <si>
    <t>--</t>
  </si>
  <si>
    <t>Dhamotharan KESAVAN</t>
  </si>
  <si>
    <t>dhamukesavan27@gmail.com</t>
  </si>
  <si>
    <t>https://www.linkedin.com/in/dhamotharan-kesavan-a7b867331/</t>
  </si>
  <si>
    <t>Raaghavan Pugazhendi</t>
  </si>
  <si>
    <t> 9600940236</t>
  </si>
  <si>
    <t>smrtragav3@gmail.com</t>
  </si>
  <si>
    <t>securin Inc</t>
  </si>
  <si>
    <t>DevOps Manager</t>
  </si>
  <si>
    <t>https://www.linkedin.com/in/pugazhendhi-s-27a26577/</t>
  </si>
  <si>
    <t>Giriraju Dhanasekhar</t>
  </si>
  <si>
    <t>sekhar7493@gmail.com</t>
  </si>
  <si>
    <t>Infinite Computer Solutions</t>
  </si>
  <si>
    <t>Software Engineer</t>
  </si>
  <si>
    <t>https://www.linkedin.com/in/dhanasekhar-g-1a1086244/</t>
  </si>
  <si>
    <t>Zoya Parwez</t>
  </si>
  <si>
    <t>misslassitude@gmail.com</t>
  </si>
  <si>
    <t>tcs</t>
  </si>
  <si>
    <t>senior devops engineer</t>
  </si>
  <si>
    <t>https://www.linkedin.com/in/zoya-parwez-0239222b3/</t>
  </si>
  <si>
    <t>SABARIGIRI D</t>
  </si>
  <si>
    <t>sabari9415@gmail.com</t>
  </si>
  <si>
    <t>Very good teaching and guidance throughout the learning and completing the certification.</t>
  </si>
  <si>
    <t xml:space="preserve">System Administrator </t>
  </si>
  <si>
    <t>https://www.linkedin.com/in/sabarigiri-d-9393b71a3/</t>
  </si>
  <si>
    <t>THAMMINENI SANTOSH KUMAR</t>
  </si>
  <si>
    <t>santoshkumarthammineni0@gmail.com</t>
  </si>
  <si>
    <t>Prodevans Technologies</t>
  </si>
  <si>
    <t>Openshift Administrator</t>
  </si>
  <si>
    <t>https://www.linkedin.com/in/santosh-kumar-4005153a8/</t>
  </si>
  <si>
    <t>Saravana Kumar M</t>
  </si>
  <si>
    <t>saravanakumar085@gmail.com</t>
  </si>
  <si>
    <t>Cbts</t>
  </si>
  <si>
    <t xml:space="preserve">Devops </t>
  </si>
  <si>
    <t>https://www.linkedin.com/in/srm-saravana-60875326/</t>
  </si>
  <si>
    <t>NALINA TEYNAMPET SAMBANDAM</t>
  </si>
  <si>
    <t>tshome36@yahoo.com</t>
  </si>
  <si>
    <t>GAVS Technologies</t>
  </si>
  <si>
    <t>L E A D S O F T W A R E E N G I N E E R</t>
  </si>
  <si>
    <t>https://www.linkedin.com/in/nalina-ts-449654113/</t>
  </si>
  <si>
    <t>Suresh S</t>
  </si>
  <si>
    <t>mail@suresh.co</t>
  </si>
  <si>
    <t>Fidelity Investments</t>
  </si>
  <si>
    <t>Lead Systems Administrator</t>
  </si>
  <si>
    <t>https://www.linkedin.com/in/suresh-co/</t>
  </si>
  <si>
    <t>Vincent A</t>
  </si>
  <si>
    <t>vincent.aj1987@gmail.com</t>
  </si>
  <si>
    <t>all good</t>
  </si>
  <si>
    <t>Senior consultant</t>
  </si>
  <si>
    <t>https://www.linkedin.com/in/vincent-arockiasamy-189293216/</t>
  </si>
  <si>
    <t>Cognizant</t>
  </si>
  <si>
    <t>Senior associate</t>
  </si>
  <si>
    <t>https://www.linkedin.com/in/vijayalakshmi-s-a56b1815/</t>
  </si>
  <si>
    <t>Hadlee Robin Bulljans A</t>
  </si>
  <si>
    <t>hrbjim@gmail.com</t>
  </si>
  <si>
    <t>SRM University AP</t>
  </si>
  <si>
    <t>Linux System Admin</t>
  </si>
  <si>
    <t>https://www.linkedin.com/in/hadlee-robin-bulljans-212a36374/</t>
  </si>
  <si>
    <t>Karthik D</t>
  </si>
  <si>
    <t>karthikdharmaraj11@gmail.com</t>
  </si>
  <si>
    <t xml:space="preserve">
EX316</t>
  </si>
  <si>
    <t>Cloud Engineer</t>
  </si>
  <si>
    <t>https://www.linkedin.com/in/karthik-dharmaraj/</t>
  </si>
  <si>
    <t>Baskar Paneerselvam</t>
  </si>
  <si>
    <t>baskardp1985@gmail.com</t>
  </si>
  <si>
    <t>Tata Consultancy Services</t>
  </si>
  <si>
    <t xml:space="preserve">Consultant </t>
  </si>
  <si>
    <t>https://www.linkedin.com/in/pannerselvam-baskar-b0607b325/</t>
  </si>
  <si>
    <t xml:space="preserve">Prodevans technologies Pvt Ltd </t>
  </si>
  <si>
    <t>Openshift engineer</t>
  </si>
  <si>
    <t>Keshav Jhalani</t>
  </si>
  <si>
    <t>keshavjhalani005@gmail.com</t>
  </si>
  <si>
    <t>.</t>
  </si>
  <si>
    <t>https://www.linkedin.com/in/keshavjhalani/</t>
  </si>
  <si>
    <t>Praveenkumar S</t>
  </si>
  <si>
    <t>Praveenkumarbe0729@gmail.com</t>
  </si>
  <si>
    <t>It was very good</t>
  </si>
  <si>
    <t>TATA COMMUNICATIONS LIMITES</t>
  </si>
  <si>
    <t>Assistant Manager</t>
  </si>
  <si>
    <t>https://www.linkedin.com/in/praveen-kumar-storage-engineer/</t>
  </si>
  <si>
    <t xml:space="preserve">Iyyappan kuppusamy
</t>
  </si>
  <si>
    <t>vazhi97@gmail.com</t>
  </si>
  <si>
    <t xml:space="preserve">Good experience </t>
  </si>
  <si>
    <t xml:space="preserve">Senior systems Engineer </t>
  </si>
  <si>
    <t>https://www.linkedin.com/in/iyyappan-k-64363514b/</t>
  </si>
  <si>
    <t>Ison Vibin</t>
  </si>
  <si>
    <t>www.isunvibin1@gmail.com</t>
  </si>
  <si>
    <t>OSS Specialist</t>
  </si>
  <si>
    <t>https://www.linkedin.com/in/ison-vibin-b847a11b1/</t>
  </si>
  <si>
    <t>Rajasaravanan Natarajan</t>
  </si>
  <si>
    <t>saravanan28@gmail.com</t>
  </si>
  <si>
    <t>Tech Application Support</t>
  </si>
  <si>
    <t>https://www.linkedin.com/in/rajasaravanan2013/</t>
  </si>
  <si>
    <t>Johnson J</t>
  </si>
  <si>
    <t>Johninfo777@gmail.com</t>
  </si>
  <si>
    <t>TMB</t>
  </si>
  <si>
    <t>AM</t>
  </si>
  <si>
    <t>https://www.linkedin.com/in/johnson-pandian-0050b3301/</t>
  </si>
  <si>
    <t>Smita Joshi</t>
  </si>
  <si>
    <t>smitaj4082@gmail.com</t>
  </si>
  <si>
    <t>https://www.linkedin.com/in/smita-joshi-/</t>
  </si>
  <si>
    <t>Ahamad Abdullah Ansari</t>
  </si>
  <si>
    <t>abdullah_ansari10@outlook.com</t>
  </si>
  <si>
    <t>https://www.linkedin.com/in/ahamad-abdullah-ansari-83a2b62b2/</t>
  </si>
  <si>
    <t>Shiza Shaik</t>
  </si>
  <si>
    <t>shizashaik9059@gmail.com</t>
  </si>
  <si>
    <t>https://www.linkedin.com/in/shiza-shaik/</t>
  </si>
  <si>
    <t>Praveen Rao</t>
  </si>
  <si>
    <t>praveenrao@vectratech.in</t>
  </si>
  <si>
    <t>Presight</t>
  </si>
  <si>
    <t>Senior Site Reliability Engineer</t>
  </si>
  <si>
    <t>https://www.linkedin.com/in/praveen-rao-639a7224/</t>
  </si>
  <si>
    <t>Venkadesh C</t>
  </si>
  <si>
    <t>c.venkadesh@ibm.com</t>
  </si>
  <si>
    <t>Good place for RedHat certification, staffs are helpful.</t>
  </si>
  <si>
    <t>Terrapay</t>
  </si>
  <si>
    <t>Devops Engineer</t>
  </si>
  <si>
    <t>https://www.linkedin.com/in/venkatesan-c-1857391a0/</t>
  </si>
  <si>
    <t>kathiravan s</t>
  </si>
  <si>
    <t>kathsha90@gmail.com</t>
  </si>
  <si>
    <t>Data Security Administrator</t>
  </si>
  <si>
    <t>https://www.linkedin.com/in/kathiravan-shanmugam-4b8a41145/</t>
  </si>
  <si>
    <t>Suresh Subramani</t>
  </si>
  <si>
    <t>sureshin7@gmail.com</t>
  </si>
  <si>
    <t>Wipro Technologies</t>
  </si>
  <si>
    <t xml:space="preserve">System engineer </t>
  </si>
  <si>
    <t>https://www.linkedin.com/in/suresh-subramani-3702831a/</t>
  </si>
  <si>
    <t>Balachandar Lakshminarayanan</t>
  </si>
  <si>
    <t>lnbalachandar@gmail.com</t>
  </si>
  <si>
    <t>Kyndryl</t>
  </si>
  <si>
    <t>Systems Administration</t>
  </si>
  <si>
    <t>https://www.linkedin.com/in/balachandar-l-a273407/</t>
  </si>
  <si>
    <t>Balasubramani M</t>
  </si>
  <si>
    <t>baalaa1999@gmail.com</t>
  </si>
  <si>
    <t>https://www.linkedin.com/in/jilla-bala-905016282/</t>
  </si>
  <si>
    <t xml:space="preserve">Shiza Shaik
</t>
  </si>
  <si>
    <t>Pravin Kumar Perumalsamy</t>
  </si>
  <si>
    <t>pravin4180@gmail.com</t>
  </si>
  <si>
    <t>BA Continuum Solutions Private Limited</t>
  </si>
  <si>
    <t>Senior Analyst</t>
  </si>
  <si>
    <t>https://www.linkedin.com/in/pravin-kumar-perumalsamy-9601b242/</t>
  </si>
  <si>
    <t>Madhu Bala S</t>
  </si>
  <si>
    <t>madhu280496@gmail.com</t>
  </si>
  <si>
    <t>Accenture</t>
  </si>
  <si>
    <t>https://www.linkedin.com/search/results/people/?keywords=madhu280496%40gmail.com</t>
  </si>
  <si>
    <t>Aravindhan M R</t>
  </si>
  <si>
    <t>mpsrhavs.vidhya@gmail.com</t>
  </si>
  <si>
    <t>bank of america</t>
  </si>
  <si>
    <t>Senior Software Engineer</t>
  </si>
  <si>
    <t>https://www.linkedin.com/in/aravindhan-m-r-34119576/</t>
  </si>
  <si>
    <t>Gopinathan G</t>
  </si>
  <si>
    <t>aggopinathan87@gmail.com</t>
  </si>
  <si>
    <t xml:space="preserve">Chainsys india pvt ltd </t>
  </si>
  <si>
    <t xml:space="preserve">Senior Systems Administrator </t>
  </si>
  <si>
    <t>https://www.linkedin.com/in/gopinathan-g-853a751a4/</t>
  </si>
  <si>
    <t>Total - 62</t>
  </si>
  <si>
    <t>Our students - 43</t>
  </si>
  <si>
    <t>Outside students - 19</t>
  </si>
  <si>
    <t>April  KIOSK EXAM 00:00AM to 23:45PM</t>
  </si>
  <si>
    <t xml:space="preserve">kishore kumar
</t>
  </si>
  <si>
    <t>kishoremcc11@gmail.com</t>
  </si>
  <si>
    <t>It was good</t>
  </si>
  <si>
    <t>The Kubernetes class was excellent, and Trainer Kumar's guidance proved invaluable in preparing for the CKA exam.</t>
  </si>
  <si>
    <t>Openshift admin</t>
  </si>
  <si>
    <t>https://www.linkedin.com/in/kishore-kumar-1287a5230/</t>
  </si>
  <si>
    <t xml:space="preserve">Balasubramani M
</t>
  </si>
  <si>
    <t>SYSTEM ENGG</t>
  </si>
  <si>
    <t>Kabilan S</t>
  </si>
  <si>
    <t>shanmugamkabilan@gmail.com</t>
  </si>
  <si>
    <t>Bank of America</t>
  </si>
  <si>
    <t>Senior Engineer</t>
  </si>
  <si>
    <t>https://www.linkedin.com/in/kabilan-shanmugam-b2917945/</t>
  </si>
  <si>
    <t>Yash Vardhan Singh</t>
  </si>
  <si>
    <t>yvsg16@gmail.com</t>
  </si>
  <si>
    <t>nice</t>
  </si>
  <si>
    <t>https://www.linkedin.com/in/yash-vardhan-singh-a76672324/</t>
  </si>
  <si>
    <t xml:space="preserve">Kalainesan P
</t>
  </si>
  <si>
    <t>nesankalai05@gmail.com</t>
  </si>
  <si>
    <t xml:space="preserve">Good to learn </t>
  </si>
  <si>
    <t>Good experience to learning</t>
  </si>
  <si>
    <t>3i infotech</t>
  </si>
  <si>
    <t>Server admin</t>
  </si>
  <si>
    <t>https://www.linkedin.com/in/akanksha-singh-928028b3/</t>
  </si>
  <si>
    <t>Sri Krishna College of Technology</t>
  </si>
  <si>
    <t>Senior Support Engineer</t>
  </si>
  <si>
    <t>Marimuthu Mariappan</t>
  </si>
  <si>
    <t>raju6306@gmail.com</t>
  </si>
  <si>
    <t xml:space="preserve">NLGIC SUPPORT SERVICE PVT LTD </t>
  </si>
  <si>
    <t xml:space="preserve">Executive IT Monitoring </t>
  </si>
  <si>
    <t>https://www.linkedin.com/in/marimuthu-m-155979259/</t>
  </si>
  <si>
    <t xml:space="preserve">Arul Nandhini
</t>
  </si>
  <si>
    <t>arulnandhini2002@gmail.com</t>
  </si>
  <si>
    <t>https://www.linkedin.com/in/arul-nandhini-348429214/</t>
  </si>
  <si>
    <t>Samuel Rajasekar</t>
  </si>
  <si>
    <t>samjbs2965@gmail.com</t>
  </si>
  <si>
    <t>Indian Bank</t>
  </si>
  <si>
    <t>Senior Manager</t>
  </si>
  <si>
    <t>https://www.linkedin.com/in/samuel-rajasekar-366642100/</t>
  </si>
  <si>
    <t>Boopathi J</t>
  </si>
  <si>
    <t>jpoopathi@gmail.com</t>
  </si>
  <si>
    <t>INFOSYS</t>
  </si>
  <si>
    <t>LINUX ADMIN</t>
  </si>
  <si>
    <t>https://www.linkedin.com/in/boopathi-j-2b623a1ba/</t>
  </si>
  <si>
    <t xml:space="preserve">Gokul K
</t>
  </si>
  <si>
    <t>gokulneymar25@gmail.com</t>
  </si>
  <si>
    <t>STUDENT</t>
  </si>
  <si>
    <t>https://www.linkedin.com/in/gokul-rathinasamy-426975334/</t>
  </si>
  <si>
    <t xml:space="preserve">Sabashbabu Palani
</t>
  </si>
  <si>
    <t>sabashbabup@gmail.com</t>
  </si>
  <si>
    <t>not working</t>
  </si>
  <si>
    <t>NOT Working</t>
  </si>
  <si>
    <t>https://www.linkedin.com/in/sabashbabu-palani-461a432a6/</t>
  </si>
  <si>
    <t>Senior Associate Consultant (Linux Admin)</t>
  </si>
  <si>
    <t xml:space="preserve">yamuna sadhu
</t>
  </si>
  <si>
    <t>yamunaanandarao@gmail.com</t>
  </si>
  <si>
    <t>https://www.linkedin.com/in/sadhu-yamuna-261b57221/</t>
  </si>
  <si>
    <t>Thulasiraja Muthukrishnan</t>
  </si>
  <si>
    <t>robinsondear@gmail.com</t>
  </si>
  <si>
    <t>Senior DevOps</t>
  </si>
  <si>
    <t>https://www.linkedin.com/in/tulsi-devops/</t>
  </si>
  <si>
    <t>Ragasudha Muruganantham</t>
  </si>
  <si>
    <t>ragasudha@vectratech.in</t>
  </si>
  <si>
    <t>Netaccess India limited</t>
  </si>
  <si>
    <t> 9150742132</t>
  </si>
  <si>
    <t>SACHUDANANDAM PALANI</t>
  </si>
  <si>
    <t>sachudanandam@hotmail.com</t>
  </si>
  <si>
    <t>Trivont</t>
  </si>
  <si>
    <t xml:space="preserve">System admin </t>
  </si>
  <si>
    <t>https://www.linkedin.com/in/sachudanandam-palani-56aaa418/</t>
  </si>
  <si>
    <t>Raja K</t>
  </si>
  <si>
    <t>kraja83@gmail.com</t>
  </si>
  <si>
    <t>All good</t>
  </si>
  <si>
    <t>All good had a smooth test</t>
  </si>
  <si>
    <t>WellsFargo</t>
  </si>
  <si>
    <t>Senior SOE</t>
  </si>
  <si>
    <t>https://www.linkedin.com/in/raja-k-14059557/</t>
  </si>
  <si>
    <t>Ram Swethak Devarasetty</t>
  </si>
  <si>
    <t>dramswethak3@gmail.com</t>
  </si>
  <si>
    <t xml:space="preserve">Superb </t>
  </si>
  <si>
    <t>Experience is okay and comfortable only</t>
  </si>
  <si>
    <t xml:space="preserve">Software Engineer </t>
  </si>
  <si>
    <t>https://www.linkedin.com/in/ram-swethak-5b194818b/</t>
  </si>
  <si>
    <t>saranya kanagasabapathy</t>
  </si>
  <si>
    <t>saranyak@ibm.com</t>
  </si>
  <si>
    <t>IBM</t>
  </si>
  <si>
    <t xml:space="preserve">Infrastructure specialist </t>
  </si>
  <si>
    <t>https://www.linkedin.com/in/saranya-kanagasabapathy-5044a81a6/</t>
  </si>
  <si>
    <t>Dinesh GOVINDHARAJ</t>
  </si>
  <si>
    <t>dhineashg@gmail.com</t>
  </si>
  <si>
    <t>L&amp;T Technology Services</t>
  </si>
  <si>
    <t>Senior Specialist</t>
  </si>
  <si>
    <t>https://www.linkedin.com/in/dhinesh-govindaraj-68827741/</t>
  </si>
  <si>
    <t>Nice</t>
  </si>
  <si>
    <t>https://www.linkedin.com/in/samuel-rajasekar-337541317/</t>
  </si>
  <si>
    <t>Technology lead</t>
  </si>
  <si>
    <t>Gokul K</t>
  </si>
  <si>
    <t>It is very nice</t>
  </si>
  <si>
    <t>It is very helpful</t>
  </si>
  <si>
    <t>EDR COMTINUOUS INFORMATION PVT LTD</t>
  </si>
  <si>
    <t>Team leader</t>
  </si>
  <si>
    <t>https://www.linkedin.com/in/gokul-kanagaraj/</t>
  </si>
  <si>
    <t>SHAAMNATHESHWAR SASIKUMAR</t>
  </si>
  <si>
    <t>shaamsarath7@gmail.com</t>
  </si>
  <si>
    <t>Great experience</t>
  </si>
  <si>
    <t>Flextronics Technologies India PVT Ltd</t>
  </si>
  <si>
    <t>IT analyst</t>
  </si>
  <si>
    <t>https://www.linkedin.com/in/shaam-natheshwar-93376b1b5/</t>
  </si>
  <si>
    <t>Varsha Kairamkonda</t>
  </si>
  <si>
    <t>varshagnits1295@gmail.com</t>
  </si>
  <si>
    <t xml:space="preserve">y </t>
  </si>
  <si>
    <t>BA Continuum</t>
  </si>
  <si>
    <t>Apprentice</t>
  </si>
  <si>
    <t>https://www.linkedin.com/in/varsha-kairamkonda-6933292ba/</t>
  </si>
  <si>
    <t>Pappula Manasa</t>
  </si>
  <si>
    <t>manasapappula15@gmail.com</t>
  </si>
  <si>
    <t xml:space="preserve">Very nice </t>
  </si>
  <si>
    <t xml:space="preserve">Apprentice </t>
  </si>
  <si>
    <t>https://www.linkedin.com/in/manasa-pappula-24311a245/</t>
  </si>
  <si>
    <t>SaiCharan Neerumalla</t>
  </si>
  <si>
    <t>srisaicharan7@gmail.com</t>
  </si>
  <si>
    <t xml:space="preserve">Definitely </t>
  </si>
  <si>
    <t xml:space="preserve">DevOps Engineer </t>
  </si>
  <si>
    <t>https://www.linkedin.com/in/saicharan-neerumalla-8501b5146/</t>
  </si>
  <si>
    <t>MEGANATHAN R</t>
  </si>
  <si>
    <t>meganathan1927@gmail.com</t>
  </si>
  <si>
    <t>Great</t>
  </si>
  <si>
    <t>Specialist</t>
  </si>
  <si>
    <t>https://www.linkedin.com/in/meganathan-r-836b9a108/</t>
  </si>
  <si>
    <t>S VIJAY SHANKAR .</t>
  </si>
  <si>
    <t>98847 40111</t>
  </si>
  <si>
    <t>vijayshankarsv@gmail.com</t>
  </si>
  <si>
    <t xml:space="preserve">Manager </t>
  </si>
  <si>
    <t>https://www.linkedin.com/in/vijay-shankar-985a2a330/</t>
  </si>
  <si>
    <t>Girish Ranjan</t>
  </si>
  <si>
    <t>gr3887@srmist.edu.in</t>
  </si>
  <si>
    <t>Adith Kumar</t>
  </si>
  <si>
    <t>adithk849@gmail.com</t>
  </si>
  <si>
    <t>Good especially chandru and vignesh</t>
  </si>
  <si>
    <t>My Trainer Rohith has took it wonderful and made a excellent KT for me. Got the best insights and also coaching. Wonderful staff.</t>
  </si>
  <si>
    <t>Amazon</t>
  </si>
  <si>
    <t>Analyst</t>
  </si>
  <si>
    <t>https://www.linkedin.com/in/adithkumar849/</t>
  </si>
  <si>
    <t>WELLS FARGO</t>
  </si>
  <si>
    <t>SYSTEM OPERATION ENGG</t>
  </si>
  <si>
    <t>https://www.linkedin.com/in/raja-k-14059557/?originalSubdomain=in</t>
  </si>
  <si>
    <t>AMARNATH JAYARAMAN</t>
  </si>
  <si>
    <t>amarnathmphil@gmail.com</t>
  </si>
  <si>
    <t>TECHNICOLOR</t>
  </si>
  <si>
    <t>Platform Architect</t>
  </si>
  <si>
    <t>https://www.linkedin.com/in/amarnath-jayaraman-20b361279/</t>
  </si>
  <si>
    <t>Jaiganesh P</t>
  </si>
  <si>
    <t>jaiganesh.offical@gmail.com</t>
  </si>
  <si>
    <t>https://www.linkedin.com/in/jaiganesh-p-981290206/</t>
  </si>
  <si>
    <t>CHANDRASEKARAN ALAGESAN</t>
  </si>
  <si>
    <t>chandrualagesan@gmail.com</t>
  </si>
  <si>
    <t>ERICCSON</t>
  </si>
  <si>
    <t>NETWORK ENGINEER</t>
  </si>
  <si>
    <t>Baskaran .</t>
  </si>
  <si>
    <t>baskarank6011@gmail.com</t>
  </si>
  <si>
    <t>Frontier Business systems Pvt. ltd.</t>
  </si>
  <si>
    <t>https://www.linkedin.com/in/baskaran-k-357702200/</t>
  </si>
  <si>
    <t>KALAINESAN P</t>
  </si>
  <si>
    <t>Total - 42</t>
  </si>
  <si>
    <t>Our students - 37</t>
  </si>
  <si>
    <t xml:space="preserve">Total Linkedin </t>
  </si>
  <si>
    <t>Outside students - 5</t>
  </si>
  <si>
    <t>May KIOSK EXAM 00:00AM to 23:45PM</t>
  </si>
  <si>
    <t xml:space="preserve">akshayagirivaradhrajan@gmail.com
</t>
  </si>
  <si>
    <t xml:space="preserve">MEGANATHAN RAJENDRAN
</t>
  </si>
  <si>
    <t>Nokia Solutions Network Pvt Ltd</t>
  </si>
  <si>
    <t xml:space="preserve">Senior Engineer </t>
  </si>
  <si>
    <t>RATHEESH P S</t>
  </si>
  <si>
    <t>ratheesh.cgec@gmail.com</t>
  </si>
  <si>
    <t xml:space="preserve">Senior consultant </t>
  </si>
  <si>
    <t>https://www.linkedin.com/in/ratheesh-p-s-73138267/</t>
  </si>
  <si>
    <t>VIVEKANANDAN K</t>
  </si>
  <si>
    <t>vivekanandan.k@vectratech.in</t>
  </si>
  <si>
    <t xml:space="preserve">excellent </t>
  </si>
  <si>
    <t>Senior administrator</t>
  </si>
  <si>
    <t>https://www.linkedin.com/in/vivekanandan-k-4a121b160/</t>
  </si>
  <si>
    <t>Suresh Sekar</t>
  </si>
  <si>
    <t>sureshbanu28@gmail.com</t>
  </si>
  <si>
    <t>NETAXIS IT SOLUTIONS (P) LTD</t>
  </si>
  <si>
    <t xml:space="preserve">Linux Server Administrator </t>
  </si>
  <si>
    <t>https://www.linkedin.com/in/suresh-s-5b0297228/</t>
  </si>
  <si>
    <t>Parthasarathy D</t>
  </si>
  <si>
    <t>sarathyeeebec@gmail.com</t>
  </si>
  <si>
    <t>REDISOLVE SOFTWARE</t>
  </si>
  <si>
    <t>MANIKANDAN K</t>
  </si>
  <si>
    <t>manikandank19102001@gmail.com</t>
  </si>
  <si>
    <t xml:space="preserve">Very nice and beautiful experience </t>
  </si>
  <si>
    <t>It's a wonderful experience in RHCSA course. well-trained and with teaching experiences is also fine. Explain everything clearly.</t>
  </si>
  <si>
    <t xml:space="preserve">Redisolve software pvt Ltd </t>
  </si>
  <si>
    <t xml:space="preserve">L2-System &amp; Network Engineer </t>
  </si>
  <si>
    <t>https://www.linkedin.com/in/manikandan-k-2423a3276/</t>
  </si>
  <si>
    <t>https://www.linkedin.com/in/chandrasekaran-alagesan-5b2846b1/</t>
  </si>
  <si>
    <t xml:space="preserve">Vijayan Ramasamy
</t>
  </si>
  <si>
    <t>IBM INDIA</t>
  </si>
  <si>
    <t>Server System operations professional</t>
  </si>
  <si>
    <t>Mohamed Wajith J</t>
  </si>
  <si>
    <t>j.m.wajith@gmail.com</t>
  </si>
  <si>
    <t xml:space="preserve">OSS Engineer </t>
  </si>
  <si>
    <t>https://www.linkedin.com/in/mohamed-wajith-j-982b63126/</t>
  </si>
  <si>
    <t>Balakumar Thangaraju</t>
  </si>
  <si>
    <t>balakumar.raju@gmail.com</t>
  </si>
  <si>
    <t>HCL</t>
  </si>
  <si>
    <t>System consultant</t>
  </si>
  <si>
    <t>https://www.linkedin.com/in/balakumar-raju-1708a68a/</t>
  </si>
  <si>
    <t>Vasanthakumar V</t>
  </si>
  <si>
    <t>vasanthsanjay45@gmail.com</t>
  </si>
  <si>
    <t>It was nice</t>
  </si>
  <si>
    <t>Comcast</t>
  </si>
  <si>
    <t>Unix Engineer</t>
  </si>
  <si>
    <t>https://www.linkedin.com/in/vasanthvj/</t>
  </si>
  <si>
    <t>Akash B</t>
  </si>
  <si>
    <t>akashab5432@gmail.com</t>
  </si>
  <si>
    <t>TRANSUNION</t>
  </si>
  <si>
    <t>LEAD ENGINEER</t>
  </si>
  <si>
    <t>https://www.linkedin.com/in/prabhakaran-murugan/</t>
  </si>
  <si>
    <t>Vignesh Subburam</t>
  </si>
  <si>
    <t>vigneshncpt430@gmail.com</t>
  </si>
  <si>
    <t xml:space="preserve">Good faculties </t>
  </si>
  <si>
    <t>Cognizant Technology Solutions</t>
  </si>
  <si>
    <t>https://www.linkedin.com/in/vigneshs92/</t>
  </si>
  <si>
    <t>C Kousalya Chandran</t>
  </si>
  <si>
    <t>kousalyachse@gmail.com</t>
  </si>
  <si>
    <t>The faculties were helpful and supportive throughout the processand the center was very well maintained.Overall, it was a smooth and positive experience.</t>
  </si>
  <si>
    <t>Voya financials</t>
  </si>
  <si>
    <t xml:space="preserve">Platform engineer </t>
  </si>
  <si>
    <t>https://www.linkedin.com/in/kousalyachandran/</t>
  </si>
  <si>
    <t>Draupa Shrikanth</t>
  </si>
  <si>
    <t>draupa30@gmail.com</t>
  </si>
  <si>
    <t xml:space="preserve">Great experience but could incrrase the number of machine availability </t>
  </si>
  <si>
    <t>good</t>
  </si>
  <si>
    <t>Data analyst</t>
  </si>
  <si>
    <t>https://www.linkedin.com/in/draupa-nair-ba092a38/</t>
  </si>
  <si>
    <t>Rajavelu Dhakshnamurthy</t>
  </si>
  <si>
    <t>rajavelu.dhakshna@gmail.com</t>
  </si>
  <si>
    <t>Akara Research &amp; Technologies Pvt Ltd</t>
  </si>
  <si>
    <t>Infrastructure Administrations</t>
  </si>
  <si>
    <t>https://www.linkedin.com/in/rajavelu-dhakshnamurthy-2b524b55/</t>
  </si>
  <si>
    <t xml:space="preserve">MATHANKUMAR M
</t>
  </si>
  <si>
    <t>realmathankumar@gmail.com</t>
  </si>
  <si>
    <t xml:space="preserve">Infra. Technology Specialist </t>
  </si>
  <si>
    <t>https://www.linkedin.com/in/mathan-kumar-m-5496b5171/</t>
  </si>
  <si>
    <t>Vakilsearch</t>
  </si>
  <si>
    <t xml:space="preserve">Manimaran Sundaravel
</t>
  </si>
  <si>
    <t>manimaransundaravel@gmail.com</t>
  </si>
  <si>
    <t>Sure</t>
  </si>
  <si>
    <t>AVP</t>
  </si>
  <si>
    <t>https://www.linkedin.com/in/sundaravel-rajendran-4ab42a27/</t>
  </si>
  <si>
    <t>SATHIYANARAYANAN LAKSHMINARAYANAN</t>
  </si>
  <si>
    <t>SATHIYALS@GMAIL.COM</t>
  </si>
  <si>
    <t>https://www.linkedin.com/in/sathiya-narayanan-a3352323/</t>
  </si>
  <si>
    <t>Abdul faheem shah</t>
  </si>
  <si>
    <t>abdulfaheemshah@gmail.com</t>
  </si>
  <si>
    <t xml:space="preserve">It was a good experience. </t>
  </si>
  <si>
    <t>EX EMPLOYEE KRITILABS</t>
  </si>
  <si>
    <t>Engineee</t>
  </si>
  <si>
    <t>https://www.linkedin.com/in/faheemshah7/</t>
  </si>
  <si>
    <t>Renault Nissan Technology &amp; Business Centre India</t>
  </si>
  <si>
    <t xml:space="preserve">Lead Architect </t>
  </si>
  <si>
    <t>https://www.linkedin.com/in/gopinath-g-232141122/</t>
  </si>
  <si>
    <t xml:space="preserve">Pravin Kumar Perumalsamy
</t>
  </si>
  <si>
    <t xml:space="preserve"> https://www.linkedin.com/in/pravin-kumar-perumalsamy-9601b242/</t>
  </si>
  <si>
    <t>Sumathi V</t>
  </si>
  <si>
    <t>devopssumathi@gmail.com</t>
  </si>
  <si>
    <t>Openshift administrator</t>
  </si>
  <si>
    <t>https://www.linkedin.com/in/sumathi-venkat-3157a4324/</t>
  </si>
  <si>
    <t>Pandiarajan Babu</t>
  </si>
  <si>
    <t>pandiarajan.babu@gmail.com</t>
  </si>
  <si>
    <t>Presidio</t>
  </si>
  <si>
    <t>Solution Architect</t>
  </si>
  <si>
    <t>https://www.linkedin.com/in/pandiarajan-babu-47510145/</t>
  </si>
  <si>
    <t>Bala Shanmugam M</t>
  </si>
  <si>
    <t>balashanmugam@vectratech.in</t>
  </si>
  <si>
    <t xml:space="preserve">The ambience and the staff are good </t>
  </si>
  <si>
    <t>The ambience and the staff are very good. They are no disturbance while taking exam</t>
  </si>
  <si>
    <t>advantage pro</t>
  </si>
  <si>
    <t>networking instructure</t>
  </si>
  <si>
    <t>https://www.linkedin.com/in/bala-shanmugam-m-5a103b317/</t>
  </si>
  <si>
    <t>Manigandan A</t>
  </si>
  <si>
    <t>manikandan@vectratech.in</t>
  </si>
  <si>
    <t>PwC India</t>
  </si>
  <si>
    <t>https://www.linkedin.com/in/manikandan-dm-in-656b0b245/</t>
  </si>
  <si>
    <t>Dinesh S</t>
  </si>
  <si>
    <t>dineshselvapillai17@gmail.com</t>
  </si>
  <si>
    <t xml:space="preserve">Detect Technologies </t>
  </si>
  <si>
    <t xml:space="preserve">Technical Associate </t>
  </si>
  <si>
    <t>https://www.linkedin.com/in/dineshs017/</t>
  </si>
  <si>
    <t>Total - 31</t>
  </si>
  <si>
    <t>Our Students - 30</t>
  </si>
  <si>
    <t>Outside Students - 1</t>
  </si>
  <si>
    <t>June KIOSK EXAM 00:00AM to 23:45PM</t>
  </si>
  <si>
    <t>do180</t>
  </si>
  <si>
    <t>Vasantha kumar</t>
  </si>
  <si>
    <t>vasanth7843@gmail.com</t>
  </si>
  <si>
    <t>IBM GTS</t>
  </si>
  <si>
    <t>Unix Administrator</t>
  </si>
  <si>
    <t>https://www.linkedin.com/in/vasantha-kumar-8748671b1/</t>
  </si>
  <si>
    <t>Balaji Narayanaswamy Sundaramoorthy</t>
  </si>
  <si>
    <t>balajinsmf@gmail.com</t>
  </si>
  <si>
    <t>NSE India</t>
  </si>
  <si>
    <t>Linux Manager</t>
  </si>
  <si>
    <t>https://www.linkedin.com/in/balaji-n-s-784611276/</t>
  </si>
  <si>
    <t>Jayaraman S</t>
  </si>
  <si>
    <t>juplacejram@gmail.com</t>
  </si>
  <si>
    <t>https://www.linkedin.com/in/jayaraman-sekar-810007161/</t>
  </si>
  <si>
    <t>All are good, thanks</t>
  </si>
  <si>
    <t>Ericsson</t>
  </si>
  <si>
    <t xml:space="preserve">Network Engineer </t>
  </si>
  <si>
    <t>Durga Prasad Gopu</t>
  </si>
  <si>
    <t>sridurga.sai91@gmail.com</t>
  </si>
  <si>
    <t>NTT data</t>
  </si>
  <si>
    <t xml:space="preserve">Senior system administrator </t>
  </si>
  <si>
    <t>https://www.linkedin.com/in/durga-prasad-gopu-233b6619a/</t>
  </si>
  <si>
    <t>KANIMOZHI S</t>
  </si>
  <si>
    <t>kanimozhisasijayanthi@gmail.com</t>
  </si>
  <si>
    <t>I had a good experience with Advantage Pro. The trainers were helpful, and the sessions were informative and useful.</t>
  </si>
  <si>
    <t>It's really interesting to learn new things Advantage pro</t>
  </si>
  <si>
    <t>GOVERNMENT COLLEGE OF ENGINEERING BARGUR</t>
  </si>
  <si>
    <t xml:space="preserve">STUDENT </t>
  </si>
  <si>
    <t>https://www.linkedin.com/in/kanimozhi-s-2392592a2/</t>
  </si>
  <si>
    <t>Excellent, well ventilated</t>
  </si>
  <si>
    <t xml:space="preserve">IBM </t>
  </si>
  <si>
    <t>Server System operations</t>
  </si>
  <si>
    <t>Anusuya Kumarasamy</t>
  </si>
  <si>
    <t>K.anusuyalic@gmail.com</t>
  </si>
  <si>
    <t xml:space="preserve">Environment is good </t>
  </si>
  <si>
    <t xml:space="preserve">Oss administrator </t>
  </si>
  <si>
    <t>https://www.linkedin.com/in/anusuya-kumarasamy-ab8805193/</t>
  </si>
  <si>
    <t xml:space="preserve">Muruganantham I
</t>
  </si>
  <si>
    <t>imuruganantham2000@gmail.com</t>
  </si>
  <si>
    <t xml:space="preserve">Linux Administrator </t>
  </si>
  <si>
    <t>https://www.linkedin.com/in/muruganantham-i-960982231/</t>
  </si>
  <si>
    <t>Rajesh Murugesan</t>
  </si>
  <si>
    <t xml:space="preserve">77rajesh77@gmail.com
</t>
  </si>
  <si>
    <t xml:space="preserve">
EX280</t>
  </si>
  <si>
    <t>https://www.linkedin.com/in/rajesh-mandal-gmail-rajesh-mandal-gmail-com-73258247/</t>
  </si>
  <si>
    <t>Pradeep Kumar K</t>
  </si>
  <si>
    <t>pradeepkabilan8@gmail.com</t>
  </si>
  <si>
    <t>Its great experience with with guidence</t>
  </si>
  <si>
    <t>It's great experience while learning in this and with a great teaching experience.</t>
  </si>
  <si>
    <t>https://www.linkedin.com/in/pradeep-kumar-b64789273/</t>
  </si>
  <si>
    <t>Thangaraj Muthu Pandian</t>
  </si>
  <si>
    <t>thangarajm150@gmail.com</t>
  </si>
  <si>
    <t>Fidelis Technology Services</t>
  </si>
  <si>
    <t>Linux administrator</t>
  </si>
  <si>
    <t>https://www.linkedin.com/in/thangaraj-m-875932174/</t>
  </si>
  <si>
    <t>EX417</t>
  </si>
  <si>
    <t xml:space="preserve">Server System operations </t>
  </si>
  <si>
    <t>Priyanka Kumari</t>
  </si>
  <si>
    <t>priyanka.kumari13@wipro.com</t>
  </si>
  <si>
    <t xml:space="preserve">Overall good experience </t>
  </si>
  <si>
    <t>Good experience Good facilities</t>
  </si>
  <si>
    <t xml:space="preserve">Network engined </t>
  </si>
  <si>
    <t>Ancil R</t>
  </si>
  <si>
    <t>ancil.seelan@gmail.com</t>
  </si>
  <si>
    <t>Good need lab for practice like at real time exam</t>
  </si>
  <si>
    <t>Good environment to write an exam..</t>
  </si>
  <si>
    <t>Capgemini</t>
  </si>
  <si>
    <t>Manager</t>
  </si>
  <si>
    <t>https://www.linkedin.com/in/ancil-r-aa7a83255/</t>
  </si>
  <si>
    <t>ai.prasanth@koenig-solutions.com</t>
  </si>
  <si>
    <t>Suresh Kumar S</t>
  </si>
  <si>
    <t>suresh4075251@gmail.com</t>
  </si>
  <si>
    <t>Linux Engineer</t>
  </si>
  <si>
    <t>https://www.linkedin.com/in/suresh-kumar1998/</t>
  </si>
  <si>
    <t>Chandru Kannan</t>
  </si>
  <si>
    <t>chandrumax55@gmail.com</t>
  </si>
  <si>
    <t>Centre was good and friendly environment</t>
  </si>
  <si>
    <t>Development Engineer 3</t>
  </si>
  <si>
    <t>https://www.linkedin.com/in/chandru-kannan-344732221/</t>
  </si>
  <si>
    <t>https://www.linkedin.com/in/kalai-nesan-802599403/</t>
  </si>
  <si>
    <t xml:space="preserve">Padmavathy Kasimani
</t>
  </si>
  <si>
    <t>padma26vkm@gmail.com</t>
  </si>
  <si>
    <t>Good training center and for taking exams</t>
  </si>
  <si>
    <t xml:space="preserve">Associate consultant </t>
  </si>
  <si>
    <t>https://www.linkedin.com/search/results/people/?keywords=padma26vkm%40gmail.com</t>
  </si>
  <si>
    <t>Keerthana U R</t>
  </si>
  <si>
    <t>itsmekeerthanaur@gmail.com</t>
  </si>
  <si>
    <t xml:space="preserve">Staff was available 24/7 and guided me throughout my practice sessions and exam </t>
  </si>
  <si>
    <t>I am happy to share that I have successfully completed both my RHCSA and RHCE certifications at Advantage Pro. A huge shoutout to my instructor, Vivek, for his exceptional teaching. His deep technical knowledge and clear explanation of complex Linux concepts made the learning process smooth and engaging. I highly recommend his classes to anyone looking to master Red Hat technologies.</t>
  </si>
  <si>
    <t xml:space="preserve">Sr Technical analyst </t>
  </si>
  <si>
    <t>https://www.linkedin.com/in/keerthana-u-r-3a85a3178/</t>
  </si>
  <si>
    <t>Ashish Kumar Rao</t>
  </si>
  <si>
    <t>ashishrao757@gmail.com</t>
  </si>
  <si>
    <t>Nokia</t>
  </si>
  <si>
    <t>Solution specialist</t>
  </si>
  <si>
    <t>https://www.linkedin.com/in/ashish-rao-89981a66/</t>
  </si>
  <si>
    <t>HIMAVATHI YS</t>
  </si>
  <si>
    <t>himavathiyuvaraj04@gmail.com</t>
  </si>
  <si>
    <t>The centre was really good for the test</t>
  </si>
  <si>
    <t xml:space="preserve">Unemployed </t>
  </si>
  <si>
    <t>https://www.linkedin.com/in/himavathi-y-s-/</t>
  </si>
  <si>
    <t>SATHISH M</t>
  </si>
  <si>
    <t>msathish26it@hotmail.com</t>
  </si>
  <si>
    <t>Total nice</t>
  </si>
  <si>
    <t>https://www.linkedin.com/in/sathish-manikkavelu-51a732374/</t>
  </si>
  <si>
    <t>Riyaz Mohammed M</t>
  </si>
  <si>
    <t>riyaz.mohammed2@kyndryl.com</t>
  </si>
  <si>
    <t xml:space="preserve">System Administrator- Linux Support </t>
  </si>
  <si>
    <t>https://www.linkedin.com/in/riyaz-mohammed-36a476214/</t>
  </si>
  <si>
    <t>T Subhashri</t>
  </si>
  <si>
    <t>tvsubhashri1987@gmail.com</t>
  </si>
  <si>
    <t>DTCC</t>
  </si>
  <si>
    <t xml:space="preserve">Application Support Engineer </t>
  </si>
  <si>
    <t>https://www.linkedin.com/in/subhashree-pradhan-18ba5a18/</t>
  </si>
  <si>
    <t>K Mydeen</t>
  </si>
  <si>
    <t>mydefath@gmail.com</t>
  </si>
  <si>
    <t>server administrator</t>
  </si>
  <si>
    <t>https://www.linkedin.com/in/mydeen-vallam-203a8781/</t>
  </si>
  <si>
    <t>Aravindan M</t>
  </si>
  <si>
    <t>aravind2ece@gmail.com</t>
  </si>
  <si>
    <t xml:space="preserve">Best option please join&amp; crack easily </t>
  </si>
  <si>
    <t xml:space="preserve">Fujitsu </t>
  </si>
  <si>
    <t>https://www.linkedin.com/in/aravindan-m-9b6b4a8b/</t>
  </si>
  <si>
    <t>EX436</t>
  </si>
  <si>
    <t>DILLIBABU S</t>
  </si>
  <si>
    <t>dillibabu.sampath@wellsfargo.com</t>
  </si>
  <si>
    <t>Health edge</t>
  </si>
  <si>
    <t>https://www.linkedin.com/in/dillibabu-sampath-874652291/</t>
  </si>
  <si>
    <t>Shakthi Vel</t>
  </si>
  <si>
    <t>k.shakthivel14@gmail.com</t>
  </si>
  <si>
    <t>SBA Info Solutions Pvt. Ltd</t>
  </si>
  <si>
    <t>https://www.linkedin.com/in/shakthi-vel-karthick/</t>
  </si>
  <si>
    <t>Senthilmaran Duraisamy</t>
  </si>
  <si>
    <t>maranrhl@gmail.com</t>
  </si>
  <si>
    <t>BACI</t>
  </si>
  <si>
    <t xml:space="preserve">Sr.Analyst </t>
  </si>
  <si>
    <t>https://www.linkedin.com/in/senthil-maran-1b927720/</t>
  </si>
  <si>
    <t>APPANDAIRAJ A</t>
  </si>
  <si>
    <t>appandairaj.a@vit.ac.in</t>
  </si>
  <si>
    <t>https://www.linkedin.com/in/appandairaj-santhibal-17653719b/</t>
  </si>
  <si>
    <t>Ragunath E</t>
  </si>
  <si>
    <t>ragunathrock481@gmail.com</t>
  </si>
  <si>
    <t>Teamtweaks technologies</t>
  </si>
  <si>
    <t>PHP Developer</t>
  </si>
  <si>
    <t>https://www.linkedin.com/in/ragunath-e-039744251/</t>
  </si>
  <si>
    <t>Dubbaka Harish</t>
  </si>
  <si>
    <t>harishdubbaka450@gmail.com</t>
  </si>
  <si>
    <t>Senior Process Executive</t>
  </si>
  <si>
    <t>https://www.linkedin.com/in/dubbaka-harish-b440711b7/</t>
  </si>
  <si>
    <t>ANITHA PRICILLA MARIA JESIYAN</t>
  </si>
  <si>
    <t>amariaje@visa.com</t>
  </si>
  <si>
    <t>Visa</t>
  </si>
  <si>
    <t>Director</t>
  </si>
  <si>
    <t>https://www.linkedin.com/in/anitha-pricilla-6666b0172/</t>
  </si>
  <si>
    <t>Dinesh V</t>
  </si>
  <si>
    <t>dinesh.vishwanathan@vit.ac.in</t>
  </si>
  <si>
    <t>SRE Engineer |</t>
  </si>
  <si>
    <t>http://linkedin.com/in/dinesh-v-a61379254/</t>
  </si>
  <si>
    <t>Nizam Ahmed</t>
  </si>
  <si>
    <t>nizamahmed.s92@gmail.com</t>
  </si>
  <si>
    <t>https://www.linkedin.com/in/nizamsp/</t>
  </si>
  <si>
    <t>Ranjithkumar Paramasivam</t>
  </si>
  <si>
    <t>ranjithk643@gmail.com</t>
  </si>
  <si>
    <t xml:space="preserve">Senior Administrator </t>
  </si>
  <si>
    <t>https://www.linkedin.com/in/ranjithkumar-paramasivam-8069699b/</t>
  </si>
  <si>
    <t>Chandru S</t>
  </si>
  <si>
    <t>chandru@vectratech.in</t>
  </si>
  <si>
    <t xml:space="preserve">The staff were professional, polite, and supportive throughout the entire process..Thanks Lakshmipathy sir </t>
  </si>
  <si>
    <t>I had a very good experience at this exam centre. The staff were professional, polite, and supportive throughout the entire process. The check-in procedure was smooth, and all instructions were explained clearly. The testing environment was clean, quiet, and well-organized, which helped me concentrate on the exam. The computer and other equipment worked properly without any technical issues. Overall, I am very satisfied with the service provided by the exam centre. Thank you to the entire team for maintaining a professional and comfortable testing environment. I would highly recommend this exam centre to other candidates.</t>
  </si>
  <si>
    <t xml:space="preserve">Vectra technosoft Private limited </t>
  </si>
  <si>
    <t>Lab Admin</t>
  </si>
  <si>
    <t>Manu Kumar Madhusoothanan Nair Leela Bai</t>
  </si>
  <si>
    <t>manukumarml90@gmail.com</t>
  </si>
  <si>
    <t>rahul Dharmapandi</t>
  </si>
  <si>
    <t>rahulpandi279@gmail.com</t>
  </si>
  <si>
    <t xml:space="preserve">Very good facaulty, Teaching is very good </t>
  </si>
  <si>
    <t>Very good facaulty, Teaching is very good</t>
  </si>
  <si>
    <t xml:space="preserve">Msl infotech India pvt LTD </t>
  </si>
  <si>
    <t>server admin</t>
  </si>
  <si>
    <t>https://www.linkedin.com/in/rahul-d-5823b8208/</t>
  </si>
  <si>
    <t>Ramesh Kotti</t>
  </si>
  <si>
    <t>ramesh.kotti@kyndryl.com</t>
  </si>
  <si>
    <t>Kyndryl India</t>
  </si>
  <si>
    <t>AIX</t>
  </si>
  <si>
    <t>https://www.linkedin.com/in/ramesh-kotti-a4278b10/</t>
  </si>
  <si>
    <t>Total - 50</t>
  </si>
  <si>
    <t>Our Students- 38</t>
  </si>
  <si>
    <t>Outside Students - 12</t>
  </si>
  <si>
    <t>July KIOSK EXAM 00:00AM to 23:45PM</t>
  </si>
  <si>
    <t xml:space="preserve">total </t>
  </si>
  <si>
    <t>CCNA</t>
  </si>
  <si>
    <t>YAGEETHA VENKATESAN SHANTHI</t>
  </si>
  <si>
    <t>jyotsana.yageetha@gmail.com</t>
  </si>
  <si>
    <t>Staffs are guiding us friendly and thanks for your support</t>
  </si>
  <si>
    <t>https://www.linkedin.com/in/yageetha-v-s/</t>
  </si>
  <si>
    <t>Yuvraj R</t>
  </si>
  <si>
    <t>yuvrajramanathan02@gmail.com</t>
  </si>
  <si>
    <t>CMS IT Services</t>
  </si>
  <si>
    <t>https://www.linkedin.com/in/yuvraj-ramanathan-550183344/</t>
  </si>
  <si>
    <t>RETAKE.1</t>
  </si>
  <si>
    <t>Very good and quiet facility to write exam</t>
  </si>
  <si>
    <t xml:space="preserve">Unix system administrator </t>
  </si>
  <si>
    <t>https://www.linkedin.com/in/riyaz-mohammed-634514410/</t>
  </si>
  <si>
    <t>Joel S</t>
  </si>
  <si>
    <t>joelselva1992@gmail.com</t>
  </si>
  <si>
    <t xml:space="preserve">One of the best academy to learn the redhat certification </t>
  </si>
  <si>
    <t>Unix Admin</t>
  </si>
  <si>
    <t>https://www.linkedin.com/in/joel-simon-086623145/</t>
  </si>
  <si>
    <t>Marianus Cladin A</t>
  </si>
  <si>
    <t>arulcladin@gmail.com</t>
  </si>
  <si>
    <t>I have good environment to learn here</t>
  </si>
  <si>
    <t xml:space="preserve">Fis </t>
  </si>
  <si>
    <t>https://www.linkedin.com/in/marianus-cladin-a-/</t>
  </si>
  <si>
    <t xml:space="preserve">Vijayalakshmi Thirunavukarasu
</t>
  </si>
  <si>
    <t>vijaya.viji@gmail.com</t>
  </si>
  <si>
    <t>https://www.linkedin.com/in/vijaya-viji-60a17041a/</t>
  </si>
  <si>
    <t>Harshini .V.M</t>
  </si>
  <si>
    <t>harshini_vm@vectratech.in</t>
  </si>
  <si>
    <t>Having recently taken the DO180 exam, I can confidently say it is a comprehensive and highly practical test of container orchestration skills. Because the exam is 100% hands-on and performance-based, it truly tests your ability to work under pressure in a real-world environment rather than just memorizing theory. Navigating between the command line and the OpenShift Web Console required a solid, fluid understanding of how to deploy applications, manage resources, and configure storage. The automated grading is incredibly precise, so a huge takeaway for me was the absolute necessity of practicing the lab exercises until the syntax and workflows become second nature. It's a challenging but deeply rewarding exam that provides a solid, enterprise-ready foundation for anyone looking to master Kubernetes and Red Hat OpenShift.</t>
  </si>
  <si>
    <t xml:space="preserve">advantage pro </t>
  </si>
  <si>
    <t xml:space="preserve">networking instructor </t>
  </si>
  <si>
    <t>https://www.linkedin.com/in/harshinivm/</t>
  </si>
  <si>
    <t>harish .k.k</t>
  </si>
  <si>
    <t>harish_kk@vectratech.in</t>
  </si>
  <si>
    <t xml:space="preserve">Vectra Technosoft Pvt Ltd </t>
  </si>
  <si>
    <t xml:space="preserve">Networking Instructor </t>
  </si>
  <si>
    <t>https://www.linkedin.com/in/harish-k-k-a4606a303/</t>
  </si>
  <si>
    <t>Akshaya G</t>
  </si>
  <si>
    <t>Linux System Administrator</t>
  </si>
  <si>
    <t>https://www.linkedin.com/in/akshaya-srikanth-353a0920b/</t>
  </si>
  <si>
    <t>Ravindar Mohan</t>
  </si>
  <si>
    <t xml:space="preserve">
ravindran.mb.tech@gmail.com</t>
  </si>
  <si>
    <t xml:space="preserve">jyotsana.yageetha@gmail.com
</t>
  </si>
  <si>
    <t>rajan gurusamy</t>
  </si>
  <si>
    <t xml:space="preserve">rajangurusamy@gmail.com
</t>
  </si>
  <si>
    <t>Dxc</t>
  </si>
  <si>
    <t>Sr. System admin</t>
  </si>
  <si>
    <t>https://www.linkedin.com/in/rajan-gurusamy-6036166b/</t>
  </si>
  <si>
    <t>Associate Architect</t>
  </si>
  <si>
    <t>K Vignesh</t>
  </si>
  <si>
    <t>vigneshksundaram@gmail.com</t>
  </si>
  <si>
    <t>Project Manager</t>
  </si>
  <si>
    <t>https://www.linkedin.com/in/vignesshkalyanasundaram/</t>
  </si>
  <si>
    <t>Ashwin Devan</t>
  </si>
  <si>
    <t>ashwindevan2802@gmail.com</t>
  </si>
  <si>
    <t xml:space="preserve">Good, a friendly trainer </t>
  </si>
  <si>
    <t>Zen4tech Solution</t>
  </si>
  <si>
    <t>UI/UX designer</t>
  </si>
  <si>
    <t>https://www.linkedin.com/in/-ashwin-d/</t>
  </si>
  <si>
    <t>Mahadevan N</t>
  </si>
  <si>
    <t>mahadevan18@gmail.com</t>
  </si>
  <si>
    <t>It was an good learning with care. Guidance of all faculties and faciltwet</t>
  </si>
  <si>
    <t>https://www.linkedin.com/in/maha-devan-09659143/</t>
  </si>
  <si>
    <t xml:space="preserve">Anas Haroon H
</t>
  </si>
  <si>
    <t>anasharoon067@gmail.com</t>
  </si>
  <si>
    <t>I completed my RHCSA training at Advantage Pro. My mentor, Arish, teaches incredibly well and cleared all my doubts easily. Highly recommended!</t>
  </si>
  <si>
    <t>I completed my RHCSA training at Advantage Pro. My mentor Arish, teaches incredibly well and cleared all my doubts easily. Highly recommended!</t>
  </si>
  <si>
    <t>https://www.linkedin.com/in/anas-haroon-228418356/</t>
  </si>
  <si>
    <t>Lakshmi Preethika K</t>
  </si>
  <si>
    <t>lakshmipreethika544@gmail.com</t>
  </si>
  <si>
    <t>LTIMindtree</t>
  </si>
  <si>
    <t>https://www.linkedin.com/in/lakshmi-preethika-k-6759aa188/</t>
  </si>
  <si>
    <t>Sivasakthi Sadhanandh</t>
  </si>
  <si>
    <t>sakthid.oanandh@gmail.com</t>
  </si>
  <si>
    <t>Abish TK</t>
  </si>
  <si>
    <t>abishtk1999@gmail.com</t>
  </si>
  <si>
    <t>NARAYANA RAO SISTU</t>
  </si>
  <si>
    <t>sistu.narayana@gmail.com</t>
  </si>
  <si>
    <t>Alcatel-Lucent</t>
  </si>
  <si>
    <t>Optimization Engineer</t>
  </si>
  <si>
    <t>https://www.linkedin.com/in/narayana-rao-7a882231/</t>
  </si>
  <si>
    <t>Prasanna Seemon</t>
  </si>
  <si>
    <t>prasanna.seemon@gmail.com</t>
  </si>
  <si>
    <t xml:space="preserve">The test experience was good. </t>
  </si>
  <si>
    <t>I have undergone RHCSA exam, the coordination was smooth and hassle free.</t>
  </si>
  <si>
    <t xml:space="preserve">Societe Generale </t>
  </si>
  <si>
    <t xml:space="preserve">Lead system engineer </t>
  </si>
  <si>
    <t>https://www.linkedin.com/in/prasanna-seemon/</t>
  </si>
  <si>
    <t>Angelin Ilakiya A</t>
  </si>
  <si>
    <t>angelinilakiya24@gmail.com</t>
  </si>
  <si>
    <t>It is good</t>
  </si>
  <si>
    <t>Tata communications</t>
  </si>
  <si>
    <t xml:space="preserve">Engineer </t>
  </si>
  <si>
    <t>https://www.linkedin.com/in/angelin-ilakiya-aab9bb279/</t>
  </si>
  <si>
    <t>Vijayalakshmi Thirunavukarasu</t>
  </si>
  <si>
    <t>ravindran.mb.tech@gmail.com</t>
  </si>
  <si>
    <t>https://www.linkedin.com/in/ravindar-mohan-427ba9a5/</t>
  </si>
  <si>
    <t xml:space="preserve">Vel Murugan
</t>
  </si>
  <si>
    <t>murugavmns294@gmail.com</t>
  </si>
  <si>
    <t xml:space="preserve">Angelone </t>
  </si>
  <si>
    <t xml:space="preserve">Dc engineer </t>
  </si>
  <si>
    <t>https://www.linkedin.com/in/velmurugan-v-4a527027b/</t>
  </si>
  <si>
    <t>NERSUPALLI NAGA DASTHA GIRI VARA PRASAD REDDY</t>
  </si>
  <si>
    <t>n.n.d.v.prasad.reddy2@ibm.com</t>
  </si>
  <si>
    <t>VELPULA PRASANNA KUMAR</t>
  </si>
  <si>
    <t>prasannavelpula915@gmail.com</t>
  </si>
  <si>
    <t xml:space="preserve"> Nice environment for writing exam</t>
  </si>
  <si>
    <t xml:space="preserve">Patel Greentech Pvt Limited </t>
  </si>
  <si>
    <t>https://www.linkedin.com/in/prasanna-kumar-bb31b4274/</t>
  </si>
  <si>
    <t>Shyam Sundar A</t>
  </si>
  <si>
    <t>shyamsundara88@gmail.com</t>
  </si>
  <si>
    <t>Gokulakrishnan G</t>
  </si>
  <si>
    <t>gokulakrishnan03101988@gmail.com</t>
  </si>
  <si>
    <t>HCLTech</t>
  </si>
  <si>
    <t>Cloud ops</t>
  </si>
  <si>
    <t>https://www.linkedin.com/in/gokulakrishnan-gopinath-335746172/</t>
  </si>
  <si>
    <t>Jerish J</t>
  </si>
  <si>
    <t xml:space="preserve">jerishj001@gmail.com
</t>
  </si>
  <si>
    <t>https://www.linkedin.com/in/jerish-jeyachandrakumar-b9b818301/</t>
  </si>
  <si>
    <t>Santhoshkumar V</t>
  </si>
  <si>
    <t xml:space="preserve">santhoshkumar.v@wipro.com
</t>
  </si>
  <si>
    <t xml:space="preserve">Abish TK
</t>
  </si>
  <si>
    <t xml:space="preserve">abishtk1999@gmail.com
</t>
  </si>
  <si>
    <t xml:space="preserve">Svn Systech Pvt Ltd </t>
  </si>
  <si>
    <t xml:space="preserve">Aix Admin </t>
  </si>
  <si>
    <t>https://www.linkedin.com/in/abishtk/</t>
  </si>
  <si>
    <t xml:space="preserve">Santhoshkumar V
</t>
  </si>
  <si>
    <t>santhoshkumar.v@wipro.com</t>
  </si>
  <si>
    <t>Soliton Technologies</t>
  </si>
  <si>
    <t>https://www.linkedin.com/in/santhoshkumarcbe/</t>
  </si>
  <si>
    <t>Teamware Solutions</t>
  </si>
  <si>
    <t>Senior AIX Administrator</t>
  </si>
  <si>
    <t>http://linkedin.com/in/devendran-sm/</t>
  </si>
  <si>
    <t>SARAVANAKUMAR SANTHANAM</t>
  </si>
  <si>
    <t>ohmsaravana@gmail.com</t>
  </si>
  <si>
    <t>Photon Interactive</t>
  </si>
  <si>
    <t xml:space="preserve">QA Engineer </t>
  </si>
  <si>
    <t>https://www.linkedin.com/in/saravanakumar-santhanam-85558888/</t>
  </si>
  <si>
    <t>Yogeswaran Ponnusamy</t>
  </si>
  <si>
    <t>yogeswaran.p@atos.net</t>
  </si>
  <si>
    <t>https://www.linkedin.com/in/yogeswaran-ponnusamy-952257124/</t>
  </si>
  <si>
    <t>SANTHOSHRI J</t>
  </si>
  <si>
    <t>santhoshengineer20@gmail.com</t>
  </si>
  <si>
    <t xml:space="preserve">Veba Systems </t>
  </si>
  <si>
    <t xml:space="preserve">Server Administrator </t>
  </si>
  <si>
    <t>https://www.linkedin.com/in/santhoshri-j/</t>
  </si>
  <si>
    <t>Velmurugan Vadivel</t>
  </si>
  <si>
    <t xml:space="preserve">8220932719
</t>
  </si>
  <si>
    <t xml:space="preserve">murugavmns294@gmail.com
</t>
  </si>
  <si>
    <t xml:space="preserve">Abdul faheem shah
</t>
  </si>
  <si>
    <t xml:space="preserve">abdulfaheemshah@gmail.com
</t>
  </si>
  <si>
    <t>GOOD</t>
  </si>
  <si>
    <t xml:space="preserve">devopssumathi@gmail.com
</t>
  </si>
  <si>
    <t>ex280</t>
  </si>
  <si>
    <t xml:space="preserve">Sanjay S
</t>
  </si>
  <si>
    <t xml:space="preserve">sanjay@vectratech.in
</t>
  </si>
  <si>
    <t>Instructor</t>
  </si>
  <si>
    <t>https://www.linkedin.com/in/sanjay-s17/</t>
  </si>
  <si>
    <t>Pooja V A</t>
  </si>
  <si>
    <t>poojashreeva@gmail.com</t>
  </si>
  <si>
    <t>Aston Dietechnology Private Limited</t>
  </si>
  <si>
    <t>intern</t>
  </si>
  <si>
    <t>https://www.linkedin.com/in/pooja-v-a-210a7626b/</t>
  </si>
  <si>
    <t xml:space="preserve">Vijayakumar Gajendran
</t>
  </si>
  <si>
    <t xml:space="preserve">vijayakumar.g@citi.com
</t>
  </si>
  <si>
    <t>https://www.linkedin.com/in/vijayakumar-gajendran-666b5758/</t>
  </si>
  <si>
    <t xml:space="preserve">MANOJ VENKATA RAMA CHANDRA RAJU CHILUVURI
</t>
  </si>
  <si>
    <t xml:space="preserve">cmanojve@ford.com
</t>
  </si>
  <si>
    <t>Wells Fargo</t>
  </si>
  <si>
    <t>Executive Director</t>
  </si>
  <si>
    <t>https://www.linkedin.com/in/vrajamrajuch/</t>
  </si>
  <si>
    <t xml:space="preserve">Aditya Pulyapudi
</t>
  </si>
  <si>
    <t>adityapulyapudi@gmail.com</t>
  </si>
  <si>
    <t>https://www.linkedin.com/in/aditya-pulyapudi-16a631232/</t>
  </si>
  <si>
    <t>Purushothaman B</t>
  </si>
  <si>
    <t>purub1806@gmail.com</t>
  </si>
  <si>
    <t>Mindteck</t>
  </si>
  <si>
    <t>https://www.linkedin.com/in/cse-purushothamanb/</t>
  </si>
  <si>
    <t>Manoj Prabhakar N Nagaraj</t>
  </si>
  <si>
    <t>nmprabhakar25@gmail.com</t>
  </si>
  <si>
    <t>N/A</t>
  </si>
  <si>
    <t xml:space="preserve">Lebara media private limited </t>
  </si>
  <si>
    <t xml:space="preserve">Voice core engineer </t>
  </si>
  <si>
    <t>https://www.linkedin.com/in/manoj-prabhakar-n-51b50b186/</t>
  </si>
  <si>
    <t>Prathibha S</t>
  </si>
  <si>
    <t>prathibhaselvaraj@gmail.com</t>
  </si>
  <si>
    <t>Senior support analyst</t>
  </si>
  <si>
    <t>https://www.linkedin.com/in/prathibha-selvaraj/</t>
  </si>
  <si>
    <t>Rupeshwar M</t>
  </si>
  <si>
    <t>rupeshwar22@gmail.com</t>
  </si>
  <si>
    <t>nothing</t>
  </si>
  <si>
    <t xml:space="preserve">Radiant global technology </t>
  </si>
  <si>
    <t xml:space="preserve">Application analyst </t>
  </si>
  <si>
    <t>https://www.linkedin.com/in/rupeshwar-m/</t>
  </si>
  <si>
    <t xml:space="preserve"> Total - 52</t>
  </si>
  <si>
    <t>Our Students- 45</t>
  </si>
  <si>
    <t>Outs0ide Students - 7</t>
  </si>
  <si>
    <t>August KIOSK EXAM 00:00AM to 23:45PM</t>
  </si>
  <si>
    <t>Rupesh kumar Enukonda</t>
  </si>
  <si>
    <t>rupeshkumarenukonda@gmail.com</t>
  </si>
  <si>
    <t>Overall too good and supportive staff</t>
  </si>
  <si>
    <t>https://www.linkedin.com/in/rupesh-kumar-enukonda/</t>
  </si>
  <si>
    <t>Jiby Baby</t>
  </si>
  <si>
    <t>jiby.baby@wipro.com</t>
  </si>
  <si>
    <t>Tech Lead</t>
  </si>
  <si>
    <t>vignesh devaraj</t>
  </si>
  <si>
    <t>vignesh110593@gmail.com</t>
  </si>
  <si>
    <t xml:space="preserve">Hitachi energy </t>
  </si>
  <si>
    <t xml:space="preserve">Technical products support engineers </t>
  </si>
  <si>
    <t>https://www.linkedin.com/in/vignesh-devaraj-55842268/</t>
  </si>
  <si>
    <t>Raja Subramanian</t>
  </si>
  <si>
    <t>mailtoraja.s@gmail.com</t>
  </si>
  <si>
    <t>https://www.linkedin.com/in/raja-java-562451b2/</t>
  </si>
  <si>
    <t>S Senthilnathan</t>
  </si>
  <si>
    <t>senthilnathan.sundaresan@rapiddata.com</t>
  </si>
  <si>
    <t xml:space="preserve">Good support especially chandru </t>
  </si>
  <si>
    <t>Rapid data te h</t>
  </si>
  <si>
    <t>Sudhagar D</t>
  </si>
  <si>
    <t>sudhakar5290@gmail.com</t>
  </si>
  <si>
    <t>Vintorix Private Limited</t>
  </si>
  <si>
    <t>Technical Manager</t>
  </si>
  <si>
    <t>https://www.linkedin.com/in/sudhagard/</t>
  </si>
  <si>
    <t>Sandhiya S</t>
  </si>
  <si>
    <t>sandhiyaskumar3@gmail.com</t>
  </si>
  <si>
    <t xml:space="preserve">Good trainning and good support throughout the examination </t>
  </si>
  <si>
    <t>https://www.linkedin.com/in/sandhiyaskumar/</t>
  </si>
  <si>
    <t>Thirumalai raja</t>
  </si>
  <si>
    <t>tb4@ford.com</t>
  </si>
  <si>
    <t>Good lab</t>
  </si>
  <si>
    <t>Ford</t>
  </si>
  <si>
    <t xml:space="preserve">Technical consultant </t>
  </si>
  <si>
    <t>Manoj Prabhakar N</t>
  </si>
  <si>
    <t>Maharajan Vivekanandan</t>
  </si>
  <si>
    <t>maharajanv2204@gmail.com</t>
  </si>
  <si>
    <t xml:space="preserve">Excellent service </t>
  </si>
  <si>
    <t>EX336</t>
  </si>
  <si>
    <t>vijayaraghavan Sathiyamoorthy</t>
  </si>
  <si>
    <t>vijayaraghavan5222@gmail.com</t>
  </si>
  <si>
    <t>Movate Technologies Pvt Ltd</t>
  </si>
  <si>
    <t>https://www.linkedin.com/in/vijaya-raghavan-s-a401a8282/</t>
  </si>
  <si>
    <t xml:space="preserve">Very good exam work station </t>
  </si>
  <si>
    <t xml:space="preserve">NSE </t>
  </si>
  <si>
    <t xml:space="preserve">Manager IT </t>
  </si>
  <si>
    <t>Pradeep Kumar T.K</t>
  </si>
  <si>
    <t>pradeepkumartk90@gmail.com</t>
  </si>
  <si>
    <t>All good..</t>
  </si>
  <si>
    <t>Senior Linux admin</t>
  </si>
  <si>
    <t>https://www.linkedin.com/in/pradeep-kumar-486024120/</t>
  </si>
  <si>
    <t>Prathep GP</t>
  </si>
  <si>
    <t>pradeepgp1999@gmail.com</t>
  </si>
  <si>
    <t xml:space="preserve">Excellent </t>
  </si>
  <si>
    <t>https://www.linkedin.com/in/prathep-g-p-ba29051a9/</t>
  </si>
  <si>
    <t>Dharshini M</t>
  </si>
  <si>
    <t>dharshinim2412@gmail.com</t>
  </si>
  <si>
    <t xml:space="preserve">Staffs are very friendly and clarify the doubts clearly </t>
  </si>
  <si>
    <t>Option AstraZeneca</t>
  </si>
  <si>
    <t>Junior Associate</t>
  </si>
  <si>
    <t>https://www.linkedin.com/in/dharshini-marisamy-207591238/</t>
  </si>
  <si>
    <t>Deepika A</t>
  </si>
  <si>
    <t>Deepi31.ashok@gmail.com</t>
  </si>
  <si>
    <t>Jeyakannan Sampath</t>
  </si>
  <si>
    <t>mails2jk222@gmail.com</t>
  </si>
  <si>
    <t xml:space="preserve">Standard Chartered GBS </t>
  </si>
  <si>
    <t xml:space="preserve">Test Lead </t>
  </si>
  <si>
    <t>https://www.linkedin.com/in/jeyakannan-sampath-4ab1aa18a/</t>
  </si>
  <si>
    <t>Arunagiri Muthiah</t>
  </si>
  <si>
    <t>amuthiah@dtcc.com
arun.cstg07@gmail.com</t>
  </si>
  <si>
    <t>Senior Assosiate</t>
  </si>
  <si>
    <t>https://www.linkedin.com/in/arunagiri-muthiah-93484a14/</t>
  </si>
  <si>
    <t>Dineshkumar Ayyanarappan</t>
  </si>
  <si>
    <t>dayyanarappan@dtcc.com</t>
  </si>
  <si>
    <t>Narayanan Sathya</t>
  </si>
  <si>
    <t>sathya@ford.com</t>
  </si>
  <si>
    <t>vinoth ponnurangam</t>
  </si>
  <si>
    <t>vinoth.ponnurangam2407@gmail.com</t>
  </si>
  <si>
    <t>Cloud Architect</t>
  </si>
  <si>
    <t>https://www.linkedin.com/in/vinoth-p-82105b42b/</t>
  </si>
  <si>
    <t>Raajalingam D</t>
  </si>
  <si>
    <t>jetboosters@hotmail.com</t>
  </si>
  <si>
    <t>Tamilnad Mercantile Bank Ltd</t>
  </si>
  <si>
    <t>Network Engineer</t>
  </si>
  <si>
    <t>https://www.linkedin.com/in/raajalingam-d-32ab41413/</t>
  </si>
  <si>
    <t>Naveenkumar A</t>
  </si>
  <si>
    <t>naveenkumara131201@gmail.com</t>
  </si>
  <si>
    <t>One of the great centre for Linux. Staffs were kind and teaching is great.</t>
  </si>
  <si>
    <t>EOS</t>
  </si>
  <si>
    <t xml:space="preserve">IT-EXECUTIVE </t>
  </si>
  <si>
    <t>https://www.linkedin.com/in/naveen-kumar-54023522a/</t>
  </si>
  <si>
    <t>amuthiah@dtcc.com</t>
  </si>
  <si>
    <t>Gokul Nath S</t>
  </si>
  <si>
    <t>12345.gokulnath.s@gmail.com</t>
  </si>
  <si>
    <t>Futurenet Technologies (India) Private Limited</t>
  </si>
  <si>
    <t xml:space="preserve">Technical Support Engineer </t>
  </si>
  <si>
    <t>https://www.linkedin.com/in/gokulnath-s2004/</t>
  </si>
  <si>
    <t>Excellent support and services</t>
  </si>
  <si>
    <t>Alaguraja J</t>
  </si>
  <si>
    <t>alaguraja135@gmail.com</t>
  </si>
  <si>
    <t xml:space="preserve">Best centre in Chennai </t>
  </si>
  <si>
    <t>LTTS</t>
  </si>
  <si>
    <t xml:space="preserve">Associate architect </t>
  </si>
  <si>
    <t>Jones Paul</t>
  </si>
  <si>
    <t>jonespaul.dario@gmail.com</t>
  </si>
  <si>
    <t>Mashreq</t>
  </si>
  <si>
    <t>UNIX Admin</t>
  </si>
  <si>
    <t>https://www.linkedin.com/in/jones-paul-a63a7b1bb/</t>
  </si>
  <si>
    <t>Raja Kuppan</t>
  </si>
  <si>
    <t>raja.kuppan@wipro.com</t>
  </si>
  <si>
    <t>EX432</t>
  </si>
  <si>
    <t xml:space="preserve">BACI </t>
  </si>
  <si>
    <t>Sr.Analyst</t>
  </si>
  <si>
    <t>Thangaraj R</t>
  </si>
  <si>
    <t>rajangold02@gmail.com</t>
  </si>
  <si>
    <t xml:space="preserve">Striim </t>
  </si>
  <si>
    <t>Lead DevOps Engineer</t>
  </si>
  <si>
    <t>https://www.linkedin.com/in/thangaraj-ravi-1a27a8147/</t>
  </si>
  <si>
    <t>Ponmeritter Jacob</t>
  </si>
  <si>
    <t>ponmeritter@gmail.com</t>
  </si>
  <si>
    <t>Cognizant Technologies</t>
  </si>
  <si>
    <t>Infra Specialist</t>
  </si>
  <si>
    <t>https://www.linkedin.com/in/ponmeritter-jacob-3033807/</t>
  </si>
  <si>
    <t>Jaison Prince</t>
  </si>
  <si>
    <t>jai.legend11@gmail.com
jaisonisaacprince@gmail.com</t>
  </si>
  <si>
    <t>Na</t>
  </si>
  <si>
    <t>Linux admin</t>
  </si>
  <si>
    <t>https://www.linkedin.com/in/jaison-prince-481abab4/</t>
  </si>
  <si>
    <t>Jayaprakash Sathyanarayanan</t>
  </si>
  <si>
    <t>jainet.aix@gmail.com</t>
  </si>
  <si>
    <t>Citi</t>
  </si>
  <si>
    <t>Senior System Analyst</t>
  </si>
  <si>
    <t>https://www.linkedin.com/in/jayaprakash-sathyanarayanan-6a8895b/</t>
  </si>
  <si>
    <t>Sitanshu Sekhar Sahu</t>
  </si>
  <si>
    <t>sitanshusekhar1@gmail.com</t>
  </si>
  <si>
    <t>Muizur Rahiman</t>
  </si>
  <si>
    <t>muizur.f@gmail.com</t>
  </si>
  <si>
    <t>Manoj S</t>
  </si>
  <si>
    <t>manojsivaraj27@gmail.com</t>
  </si>
  <si>
    <t>Hitachi systems</t>
  </si>
  <si>
    <t xml:space="preserve">technical engineer </t>
  </si>
  <si>
    <t>https://www.linkedin.com/in/manoj-kumar-870728127/</t>
  </si>
  <si>
    <t>EX282</t>
  </si>
  <si>
    <t xml:space="preserve"> Total - 45</t>
  </si>
  <si>
    <t>Our Students- 35</t>
  </si>
  <si>
    <t>Outside Students - 10</t>
  </si>
  <si>
    <t>September KIOSK EXAM 00:00AM to 23:45PM</t>
  </si>
  <si>
    <t>Vignesh Oduru</t>
  </si>
  <si>
    <t>vigneshreddy788@gmail.com</t>
  </si>
  <si>
    <t xml:space="preserve">Linux Admin </t>
  </si>
  <si>
    <t>https://www.linkedin.com/in/vignesh-reddy-95b4481bb/</t>
  </si>
  <si>
    <t>Deepan Shanmugam</t>
  </si>
  <si>
    <t>deepans772@gmail.com</t>
  </si>
  <si>
    <t xml:space="preserve">Best service </t>
  </si>
  <si>
    <t>Tucuxi</t>
  </si>
  <si>
    <t xml:space="preserve">Technical support engineer </t>
  </si>
  <si>
    <t xml:space="preserve">Rajavelu Dhakshnamurthy
</t>
  </si>
  <si>
    <t>Infra Admin</t>
  </si>
  <si>
    <t xml:space="preserve">Ponmeritter Jacob
</t>
  </si>
  <si>
    <t xml:space="preserve">ponmeritter@gmail.com
</t>
  </si>
  <si>
    <t>Shiva Prasad</t>
  </si>
  <si>
    <t>aspshivaprasad2312@gmail.com</t>
  </si>
  <si>
    <t>Good way to improve our career path here</t>
  </si>
  <si>
    <t>Muthu Soft Labs Pvt Ltd</t>
  </si>
  <si>
    <t>https://www.linkedin.com/in/asp-shiva/</t>
  </si>
  <si>
    <t>Diilibabu K</t>
  </si>
  <si>
    <t>kdillibabu91@gmail.com</t>
  </si>
  <si>
    <t xml:space="preserve">Progressive infovision pvt ltd </t>
  </si>
  <si>
    <t>Cloud engineer</t>
  </si>
  <si>
    <t>https://www.linkedin.com/in/dillibabu-k-990a2510b/</t>
  </si>
  <si>
    <t>M.S.Nandha Kumar</t>
  </si>
  <si>
    <t>nandhakumarms2563@gmail.com</t>
  </si>
  <si>
    <t xml:space="preserve">Velmurugan Sellappa
</t>
  </si>
  <si>
    <t>winvelmurugan@gmail.com</t>
  </si>
  <si>
    <t>Support Engineer</t>
  </si>
  <si>
    <t>https://www.linkedin.com/in/velmurugan-s-843019168/</t>
  </si>
  <si>
    <t>Saurabh Mali</t>
  </si>
  <si>
    <t>saurabh.mali@ibm.com
saurabhmali080@gmail.com</t>
  </si>
  <si>
    <t>It went pretty smooth, no issues in completing the exam</t>
  </si>
  <si>
    <t xml:space="preserve">Application developer DevOps </t>
  </si>
  <si>
    <t>ABDULAH PARVEEN M</t>
  </si>
  <si>
    <t>abdulahparveen6@gmail.com</t>
  </si>
  <si>
    <t xml:space="preserve">
EX200</t>
  </si>
  <si>
    <t xml:space="preserve">Vectra </t>
  </si>
  <si>
    <t xml:space="preserve">Chennai </t>
  </si>
  <si>
    <t>https://www.linkedin.com/in/abdulah-parveen-m-6a89a72a5/</t>
  </si>
  <si>
    <t xml:space="preserve">Overall best experience </t>
  </si>
  <si>
    <t>https://www.linkedin.com/in/deepan-shanmugam/</t>
  </si>
  <si>
    <t>Dillibabu K</t>
  </si>
  <si>
    <t>Paul Jonathan Raj A</t>
  </si>
  <si>
    <t>jonathanpaul2595@gmail.com</t>
  </si>
  <si>
    <t xml:space="preserve">DHAYALAN GOPAL
</t>
  </si>
  <si>
    <t xml:space="preserve"> gdhayalan208@gmail.com
</t>
  </si>
  <si>
    <t>https://www.linkedin.com/in/dhayalan-g-586409122/</t>
  </si>
  <si>
    <t>Vignesh Durairaj</t>
  </si>
  <si>
    <t>vigneshbarani28@gmail.com</t>
  </si>
  <si>
    <t xml:space="preserve">Pioneer </t>
  </si>
  <si>
    <t>Gokul Subramaniam</t>
  </si>
  <si>
    <t>gokul.subramaniam@citi.com</t>
  </si>
  <si>
    <t>https://www.linkedin.com/in/gokul-subramaniam-26308734a/</t>
  </si>
  <si>
    <t>Sivakumar T S</t>
  </si>
  <si>
    <t>sivakumar.ts@ibm.com
sivakumarbecse@gmail.com</t>
  </si>
  <si>
    <t>Good environment for attend exam</t>
  </si>
  <si>
    <t>Admin</t>
  </si>
  <si>
    <t>https://www.linkedin.com/in/sivakumar-t-s-70184916/</t>
  </si>
  <si>
    <t>Chidambaram Balakrishnan</t>
  </si>
  <si>
    <t>chidambar122@gmail.com</t>
  </si>
  <si>
    <t xml:space="preserve">Senior associate consultant </t>
  </si>
  <si>
    <t>https://www.linkedin.com/in/chidambaram-vicky-643a87215/</t>
  </si>
  <si>
    <t>Prakashkumar Muniyandi</t>
  </si>
  <si>
    <t>prakashkumar1984@gmail.com</t>
  </si>
  <si>
    <t>Good testing centre</t>
  </si>
  <si>
    <t>Jeyanth Jegatheeswaran</t>
  </si>
  <si>
    <t>jeyanth.j@kyndryl.com</t>
  </si>
  <si>
    <t xml:space="preserve">Kyndryl </t>
  </si>
  <si>
    <t xml:space="preserve">Associate Technical Engineer </t>
  </si>
  <si>
    <t>Avinash K</t>
  </si>
  <si>
    <t>avinashbscc@gmail.com</t>
  </si>
  <si>
    <t>https://www.linkedin.com/in/avinashk3/</t>
  </si>
  <si>
    <t>https://www.linkedin.com/in/jayaprakash-sathyanarayanan-6a8895b/details/certifications/</t>
  </si>
  <si>
    <t>YOKESH S</t>
  </si>
  <si>
    <t>yokesh472001@gmail.com</t>
  </si>
  <si>
    <t>https://www.linkedin.com/in/yokesh-s-656537221/</t>
  </si>
  <si>
    <t>Kkomal Padiya</t>
  </si>
  <si>
    <t>kkomalpadiya02438@gmail.com</t>
  </si>
  <si>
    <t>System was a little slow.. but everything else is good</t>
  </si>
  <si>
    <t>https://www.linkedin.com/in/kkomal-padiya/</t>
  </si>
  <si>
    <t>Dharmarajan Sundaresan</t>
  </si>
  <si>
    <t>Dharmarajan.Sundaresan@kyndryl.com</t>
  </si>
  <si>
    <t>Kumaran KR</t>
  </si>
  <si>
    <t>kumaran199721@gmail.com</t>
  </si>
  <si>
    <t>It was smooth from training to exam</t>
  </si>
  <si>
    <t xml:space="preserve">Tata Communications Limited </t>
  </si>
  <si>
    <t xml:space="preserve">Assistant manager </t>
  </si>
  <si>
    <t>https://www.linkedin.com/in/kumaran-kr-08987a111/</t>
  </si>
  <si>
    <t>Prakash S</t>
  </si>
  <si>
    <t>prakashaspv7@gmail.com</t>
  </si>
  <si>
    <t>https://www.linkedin.com/in/prakash-aspv-a31a272b0/</t>
  </si>
  <si>
    <t>AJAY KUMAR M</t>
  </si>
  <si>
    <t>mgajaykumar2004@gmail.com</t>
  </si>
  <si>
    <t>https://www.linkedin.com/in/ajaykumar-m26/</t>
  </si>
  <si>
    <t>Jeyakannan S</t>
  </si>
  <si>
    <t>Nedumaran M</t>
  </si>
  <si>
    <t>nedumohan88@gmail.com</t>
  </si>
  <si>
    <t>https://www.linkedin.com/in/nedumaran-mohan-8a2a712bb/</t>
  </si>
  <si>
    <t>Lathish B K</t>
  </si>
  <si>
    <t>lathishbk@gmail.com</t>
  </si>
  <si>
    <t xml:space="preserve">I highly recommend this institution for RHCSA (EX200) preparation! A special thanks to Ms. Harshini from the teaching faculty, who excellently coordinated my exam process and made the entire journey seamless. </t>
  </si>
  <si>
    <t>https://www.linkedin.com/in/lathishbk/</t>
  </si>
  <si>
    <t>Rekha K</t>
  </si>
  <si>
    <t>rekhakolaru@gmail.com</t>
  </si>
  <si>
    <t>https://www.linkedin.com/in/rekha-kolaru-a1b0b640b/</t>
  </si>
  <si>
    <t>Gokul Vasu</t>
  </si>
  <si>
    <t>gokulvasu2006@gmail.com</t>
  </si>
  <si>
    <t xml:space="preserve">The session was taken good and gained more practical knowledge about Linux </t>
  </si>
  <si>
    <t xml:space="preserve">OSS engineer </t>
  </si>
  <si>
    <t>Joshua Edwin I</t>
  </si>
  <si>
    <t>ijoshuaedwin54@gmail.com</t>
  </si>
  <si>
    <t>Laptop was not updated and facing slowness</t>
  </si>
  <si>
    <t xml:space="preserve">Software engineer </t>
  </si>
  <si>
    <t>https://www.linkedin.com/in/i-joshua-edwin/</t>
  </si>
  <si>
    <t>Aravind T M</t>
  </si>
  <si>
    <t>mdaravind@yahoo.com</t>
  </si>
  <si>
    <t>DHANESH RAMU M</t>
  </si>
  <si>
    <t>dhaneshramu@gmail.com</t>
  </si>
  <si>
    <t>https://www.linkedin.com/in/dhanesh-ramu-a8718553/</t>
  </si>
  <si>
    <t>Boopathy K M</t>
  </si>
  <si>
    <t>boopathykm@rediffmail.com</t>
  </si>
  <si>
    <t>Excellent cordination by the team. Very good infra.</t>
  </si>
  <si>
    <t>SME</t>
  </si>
  <si>
    <t>https://www.linkedin.com/in/boopathy-km-91bbba14/</t>
  </si>
  <si>
    <t>Arioli Rajamanickam</t>
  </si>
  <si>
    <t>ariolinkr@gmail.com</t>
  </si>
  <si>
    <t>Tech Mahindra</t>
  </si>
  <si>
    <t>Cloud Technical Specialist</t>
  </si>
  <si>
    <t>https://www.linkedin.com/in/arioli-rajamanickam/</t>
  </si>
  <si>
    <t>Venkatesha HM</t>
  </si>
  <si>
    <t>venkat.hm786@gmail.com</t>
  </si>
  <si>
    <t>Training and support is good.</t>
  </si>
  <si>
    <t>https://www.linkedin.com/in/venkatesh-h-m-338733a3/</t>
  </si>
  <si>
    <t>Meiyappan Rajamanickam</t>
  </si>
  <si>
    <t>myeyeopen@gmail.com</t>
  </si>
  <si>
    <t>Very Good</t>
  </si>
  <si>
    <t>Self</t>
  </si>
  <si>
    <t>Partner</t>
  </si>
  <si>
    <t>https://www.linkedin.com/in/meiyappan-rajamanickam-7240a47/</t>
  </si>
  <si>
    <t>Vijayakumar Gajendran</t>
  </si>
  <si>
    <t>vijayakumar.g@citi.com</t>
  </si>
  <si>
    <t>Charles Rajesh T.S</t>
  </si>
  <si>
    <t>charlie.rajesh@gmail.com</t>
  </si>
  <si>
    <t xml:space="preserve">Henkel Adhesives Technologies </t>
  </si>
  <si>
    <t xml:space="preserve">Data Center Engineer </t>
  </si>
  <si>
    <t>https://www.linkedin.com/in/charles-rajesh-t-s-1b6b42135/</t>
  </si>
  <si>
    <t>Edwin Moses R</t>
  </si>
  <si>
    <t>edwin.moses@citi.com</t>
  </si>
  <si>
    <t>https://www.linkedin.com/in/edwin-moses-9787a13bb/</t>
  </si>
  <si>
    <t>Balachandar K</t>
  </si>
  <si>
    <t>k.balachandar@kyndryl.com</t>
  </si>
  <si>
    <t>Sme</t>
  </si>
  <si>
    <t>https://www.linkedin.com/in/k-balachandar-0646203ba/</t>
  </si>
  <si>
    <t>Boobalan Moorthy</t>
  </si>
  <si>
    <t>boobalan6017@gmail.com</t>
  </si>
  <si>
    <t>NTT Ltd.</t>
  </si>
  <si>
    <t>https://www.linkedin.com/in/boobalan-moorthy-a793a4147/</t>
  </si>
  <si>
    <t xml:space="preserve">Satisfied and recommended </t>
  </si>
  <si>
    <t xml:space="preserve">Dxc </t>
  </si>
  <si>
    <t xml:space="preserve">Senior analyst </t>
  </si>
  <si>
    <t>K Rubyyazhini</t>
  </si>
  <si>
    <t>k.rubyyazhini@citi.com</t>
  </si>
  <si>
    <t>M Jahnavi</t>
  </si>
  <si>
    <t>jahnavimohanbabu@gmail.com</t>
  </si>
  <si>
    <t>https://www.linkedin.com/in/jahnavi-mohanbabu-5ab5a6a2/</t>
  </si>
  <si>
    <t>Muthusamynathan S</t>
  </si>
  <si>
    <t>muthu.gangai@gmail.com</t>
  </si>
  <si>
    <t>https://www.linkedin.com/in/shanmuga-sundaram-muthusamynathan-97259234/</t>
  </si>
  <si>
    <t>Nandha Kumar</t>
  </si>
  <si>
    <t>nandhakumarnk1010@gmail.com</t>
  </si>
  <si>
    <t>Rajkumar G</t>
  </si>
  <si>
    <t>rajkumar.g@citi.com</t>
  </si>
  <si>
    <t>Abhijith Narayanam</t>
  </si>
  <si>
    <t>nabhijit@ford.com</t>
  </si>
  <si>
    <t>Ford Motors</t>
  </si>
  <si>
    <t>Systems Engineer</t>
  </si>
  <si>
    <t>Sathyanarayanan Thiyagarajan</t>
  </si>
  <si>
    <t>sathyanarayanant@outlook.com</t>
  </si>
  <si>
    <t>https://www.linkedin.com/in/sathyanarayanan-t-b5632793?external_page=LPC.Immersive&amp;external_control=ViewProfileLink&amp;external_app_instance=aad7b113-a764-4d07-9fc4-283dac8902c0&amp;external_page_instance=dd987008-89db-4d8f-80d8-97f354b15f88&amp;experiment=displayLinkedInDataPrebind</t>
  </si>
  <si>
    <t>Ganeskumaran Subbannan</t>
  </si>
  <si>
    <t>ganeskumaran2000@gmail.com</t>
  </si>
  <si>
    <t>https://www.linkedin.com/in/ganeskumaran-subbannan-1873a6243/</t>
  </si>
  <si>
    <t>Divya Ganesan</t>
  </si>
  <si>
    <t>diviganesan@gmail.com</t>
  </si>
  <si>
    <t>Took training on openshift and the faculty sameera had explained very well on the concepts... she is very sound on the technical part and always helped whenever needed from center end Prem also had provided necessary supports whenever needed on lab point and mock exams</t>
  </si>
  <si>
    <t>5stat</t>
  </si>
  <si>
    <t>Senior tech lead</t>
  </si>
  <si>
    <t>https://www.linkedin.com/in/divya-ganesan-14a26674/</t>
  </si>
  <si>
    <t>sugesh kumar</t>
  </si>
  <si>
    <t>sugeshkumar888@gmail.com</t>
  </si>
  <si>
    <t xml:space="preserve"> Total - 67</t>
  </si>
  <si>
    <t>Our Students- 43</t>
  </si>
  <si>
    <t>Outside Students - 24</t>
  </si>
  <si>
    <t>October  KIOSK EXAM 00:00AM to 23:45PM</t>
  </si>
  <si>
    <t>Exam Code</t>
  </si>
  <si>
    <t>Prakash Ramakrishnan</t>
  </si>
  <si>
    <t>ramprakashsre@gmail.com</t>
  </si>
  <si>
    <t xml:space="preserve">Support Engineer </t>
  </si>
  <si>
    <t>https://www.linkedin.com/in/prakash-ramakrishnan-04657134b/</t>
  </si>
  <si>
    <t>MUNIRATHINAM K</t>
  </si>
  <si>
    <t>Civil.mU@gmail.com</t>
  </si>
  <si>
    <t>Edr Continous Information Private Limited</t>
  </si>
  <si>
    <t>Quality Analyst</t>
  </si>
  <si>
    <t>https://www.linkedin.com/in/munirathinam-k-847139374/</t>
  </si>
  <si>
    <t>Manikandan Dhamodaran</t>
  </si>
  <si>
    <t>manikandandl98@gmail.com</t>
  </si>
  <si>
    <t>SysArc Infomatix</t>
  </si>
  <si>
    <t xml:space="preserve">Administrator </t>
  </si>
  <si>
    <t>https://www.linkedin.com/in/manikandan-dhamodharan-79ba01246/</t>
  </si>
  <si>
    <t>Ponnirathi Amirthesan Veni</t>
  </si>
  <si>
    <t>ponnirathi.amirthesanveni@wipro.com</t>
  </si>
  <si>
    <t>kishore kumar</t>
  </si>
  <si>
    <t>Kiruthika C</t>
  </si>
  <si>
    <t>kiruthika.chandramohan@gmail.com</t>
  </si>
  <si>
    <t>Lead Analyst</t>
  </si>
  <si>
    <t>https://www.linkedin.com/in/kiruthika-chandra-mohan-957968119/</t>
  </si>
  <si>
    <t>Marisetti Avinash</t>
  </si>
  <si>
    <t>avinash72006@gmail.com</t>
  </si>
  <si>
    <t>https://www.linkedin.com/in/marisetti-avinash/</t>
  </si>
  <si>
    <t>MADHAN D</t>
  </si>
  <si>
    <t>dhanakkodi.madhan@gmail.com</t>
  </si>
  <si>
    <t xml:space="preserve">Assistant Consultant </t>
  </si>
  <si>
    <t>https://www.linkedin.com/in/madhan-d-a59599171/</t>
  </si>
  <si>
    <t>Ajitesh singh</t>
  </si>
  <si>
    <t>ajiteshsingh006@gmail.com</t>
  </si>
  <si>
    <t>Hari Priya N</t>
  </si>
  <si>
    <t>harinew2865@gmail.com</t>
  </si>
  <si>
    <t>Friendly teachers and better place to learn new skills</t>
  </si>
  <si>
    <t>Srm</t>
  </si>
  <si>
    <t>Aaditya Gaurav</t>
  </si>
  <si>
    <t>gauravaditya722@gmail.com</t>
  </si>
  <si>
    <t>Doppalapudi Venkata Amit Chowdary</t>
  </si>
  <si>
    <t>amitchowdary.d@gmail.com</t>
  </si>
  <si>
    <t xml:space="preserve">Everything went well they are really welcoming </t>
  </si>
  <si>
    <t>SRM</t>
  </si>
  <si>
    <t>https://www.linkedin.com/in/amit-chowdary-283913365/</t>
  </si>
  <si>
    <t>RETAKE</t>
  </si>
  <si>
    <t>The facilities were well prepared and was a comfortable testing environment</t>
  </si>
  <si>
    <t>SRM Institute of Science and Technology, Kattankulathur</t>
  </si>
  <si>
    <t>https://www.linkedin.com/in/ajitesh-singh-1b9492332/</t>
  </si>
  <si>
    <t>MANIKANDANDL98@GMAIL.COM</t>
  </si>
  <si>
    <t>Kanishkar M</t>
  </si>
  <si>
    <t>kanishkar22052004@gmail.com</t>
  </si>
  <si>
    <t>https://www.linkedin.com/in/kanishkar-m-b18486240/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</si>
</sst>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u/>
      <sz val="11"/>
      <color theme="10"/>
      <name val="Calibri"/>
      <family val="2"/>
      <scheme val="minor"/>
    </font>
    <font>
      <sz val="10"/>
      <color rgb="FF434343"/>
      <name val="Roboto"/>
    </font>
    <font>
      <b/>
      <sz val="10"/>
      <color theme="1"/>
      <name val="Times New Roman"/>
      <family val="1"/>
    </font>
    <font>
      <sz val="10"/>
      <color theme="1"/>
      <name val="Times New Roman"/>
      <family val="1"/>
    </font>
    <font>
      <sz val="10"/>
      <color rgb="FF000000"/>
      <name val="Times New Roman"/>
      <family val="1"/>
    </font>
    <font>
      <sz val="10"/>
      <color rgb="FF434343"/>
      <name val="Times New Roman"/>
      <family val="1"/>
    </font>
    <font>
      <sz val="10"/>
      <color rgb="FF3C4043"/>
      <name val="Times New Roman"/>
      <family val="1"/>
    </font>
    <font>
      <sz val="12"/>
      <color rgb="FF000000"/>
      <name val="Arial"/>
      <family val="2"/>
    </font>
    <font>
      <u/>
      <sz val="10"/>
      <color theme="10"/>
      <name val="Times New Roman"/>
      <family val="1"/>
    </font>
    <font>
      <b/>
      <sz val="10"/>
      <color rgb="FF000000"/>
      <name val="Times New Roman"/>
      <family val="1"/>
    </font>
    <font>
      <sz val="10"/>
      <color rgb="FF3C4043"/>
      <name val="Roboto"/>
    </font>
    <font>
      <sz val="10"/>
      <color theme="1"/>
      <name val="Calibri"/>
      <family val="2"/>
      <scheme val="minor"/>
    </font>
    <font>
      <sz val="10"/>
      <color rgb="FF000000"/>
      <name val="Arial"/>
      <family val="2"/>
    </font>
    <font>
      <sz val="11"/>
      <color rgb="FF1F1F1F"/>
      <name val="Roboto"/>
    </font>
    <font>
      <b/>
      <sz val="11"/>
      <color theme="1"/>
      <name val="Times New Roman"/>
      <family val="1"/>
    </font>
    <font>
      <sz val="11"/>
      <color rgb="FF000000"/>
      <name val="Arial"/>
      <family val="2"/>
    </font>
    <font>
      <sz val="11"/>
      <color rgb="FF000000"/>
      <name val="Times New Roman"/>
      <family val="1"/>
    </font>
    <font>
      <sz val="12"/>
      <color theme="1"/>
      <name val="Segoe UI"/>
      <family val="2"/>
    </font>
    <font>
      <sz val="10"/>
      <color theme="1"/>
      <name val="Segoe UI"/>
      <family val="2"/>
    </font>
    <font>
      <sz val="9"/>
      <name val="Times New Roman"/>
      <family val="1"/>
    </font>
    <font>
      <sz val="11"/>
      <color theme="1"/>
      <name val="Segoe UI"/>
      <family val="2"/>
    </font>
    <font>
      <b/>
      <sz val="11"/>
      <color theme="1"/>
      <name val="Calibri"/>
      <family val="2"/>
      <scheme val="minor"/>
    </font>
    <font>
      <sz val="6"/>
      <color theme="1"/>
      <name val="Segoe UI"/>
      <family val="2"/>
    </font>
    <font>
      <sz val="7"/>
      <color theme="1"/>
      <name val="Segoe UI"/>
      <family val="2"/>
    </font>
    <font>
      <sz val="8"/>
      <color theme="1"/>
      <name val="Segoe UI"/>
      <family val="2"/>
    </font>
    <font>
      <sz val="8"/>
      <color theme="1"/>
      <name val="Segoe UI"/>
      <family val="2"/>
    </font>
    <font>
      <sz val="11"/>
      <color theme="1"/>
      <name val="Times New Roman"/>
      <family val="1"/>
    </font>
    <font>
      <sz val="12"/>
      <color rgb="FF000000"/>
      <name val="Times New Roman"/>
      <family val="1"/>
    </font>
    <font>
      <sz val="11"/>
      <color rgb="FF434343"/>
      <name val="Times New Roman"/>
      <family val="1"/>
    </font>
    <font>
      <sz val="11"/>
      <name val="Times New Roman"/>
      <family val="1"/>
    </font>
  </fonts>
  <fills count="8">
    <fill>
      <patternFill patternType="none"/>
    </fill>
    <fill>
      <patternFill patternType="gray125"/>
    </fill>
    <fill>
      <patternFill patternType="solid">
        <fgColor theme="0"/>
        <bgColor indexed="64"/>
      </patternFill>
    </fill>
    <fill>
      <patternFill patternType="solid">
        <fgColor theme="9" tint="0.39997558519241921"/>
        <bgColor indexed="64"/>
      </patternFill>
    </fill>
    <fill>
      <patternFill patternType="solid">
        <fgColor rgb="FF92D050"/>
        <bgColor indexed="64"/>
      </patternFill>
    </fill>
    <fill>
      <patternFill patternType="solid">
        <fgColor rgb="FFFFFF00"/>
        <bgColor indexed="64"/>
      </patternFill>
    </fill>
    <fill>
      <patternFill patternType="solid">
        <fgColor rgb="FFFF000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FFFFFF"/>
      </left>
      <right style="medium">
        <color rgb="FFFFFFFF"/>
      </right>
      <top style="medium">
        <color rgb="FFF8F9FA"/>
      </top>
      <bottom style="medium">
        <color rgb="FFF8F9FA"/>
      </bottom>
      <diagonal/>
    </border>
    <border>
      <left style="medium">
        <color rgb="FFCCCCCC"/>
      </left>
      <right style="medium">
        <color rgb="FFFFFFFF"/>
      </right>
      <top style="medium">
        <color rgb="FFF8F9FA"/>
      </top>
      <bottom style="medium">
        <color rgb="FFF8F9FA"/>
      </bottom>
      <diagonal/>
    </border>
  </borders>
  <cellStyleXfs count="2">
    <xf numFmtId="0" fontId="0" fillId="0" borderId="0"/>
    <xf numFmtId="0" fontId="1" fillId="0" borderId="0"/>
  </cellStyleXfs>
  <cellXfs count="108">
    <xf numFmtId="0" fontId="0" fillId="0" borderId="0" xfId="0"/>
    <xf numFmtId="0" fontId="3" fillId="0" borderId="1" xfId="0" applyFont="1" applyBorder="1" applyAlignment="1">
      <alignment horizontal="left" textRotation="90"/>
    </xf>
    <xf numFmtId="49" fontId="3" fillId="0" borderId="1" xfId="0" applyNumberFormat="1" applyFont="1" applyBorder="1" applyAlignment="1">
      <alignment horizontal="left" textRotation="90"/>
    </xf>
    <xf numFmtId="14" fontId="4" fillId="0" borderId="1" xfId="0" applyNumberFormat="1" applyFont="1" applyBorder="1" applyAlignment="1">
      <alignment horizontal="left"/>
    </xf>
    <xf numFmtId="0" fontId="4" fillId="4" borderId="1" xfId="0" applyFont="1" applyFill="1" applyBorder="1" applyAlignment="1">
      <alignment horizontal="left"/>
    </xf>
    <xf numFmtId="0" fontId="4" fillId="0" borderId="1" xfId="0" applyFont="1" applyBorder="1" applyAlignment="1">
      <alignment horizontal="left" wrapText="1"/>
    </xf>
    <xf numFmtId="0" fontId="5" fillId="0" borderId="1" xfId="0" applyFont="1" applyBorder="1" applyAlignment="1">
      <alignment horizontal="left" wrapText="1"/>
    </xf>
    <xf numFmtId="0" fontId="4" fillId="5" borderId="1" xfId="0" applyFont="1" applyFill="1" applyBorder="1" applyAlignment="1">
      <alignment horizontal="left"/>
    </xf>
    <xf numFmtId="0" fontId="6" fillId="0" borderId="1" xfId="0" applyFont="1" applyBorder="1" applyAlignment="1">
      <alignment horizontal="left"/>
    </xf>
    <xf numFmtId="0" fontId="0" fillId="0" borderId="1" xfId="0" applyBorder="1" applyAlignment="1">
      <alignment horizontal="left"/>
    </xf>
    <xf numFmtId="0" fontId="8" fillId="0" borderId="1" xfId="0" applyFont="1" applyBorder="1" applyAlignment="1">
      <alignment horizontal="left"/>
    </xf>
    <xf numFmtId="1" fontId="3" fillId="0" borderId="1" xfId="0" applyNumberFormat="1" applyFont="1" applyBorder="1" applyAlignment="1">
      <alignment horizontal="left"/>
    </xf>
    <xf numFmtId="1" fontId="4" fillId="0" borderId="1" xfId="0" applyNumberFormat="1" applyFont="1" applyBorder="1" applyAlignment="1">
      <alignment horizontal="left"/>
    </xf>
    <xf numFmtId="1" fontId="4" fillId="0" borderId="0" xfId="0" applyNumberFormat="1" applyFont="1" applyAlignment="1">
      <alignment horizontal="left"/>
    </xf>
    <xf numFmtId="1" fontId="5" fillId="0" borderId="1" xfId="0" applyNumberFormat="1" applyFont="1" applyBorder="1" applyAlignment="1">
      <alignment horizontal="left"/>
    </xf>
    <xf numFmtId="0" fontId="7" fillId="0" borderId="1" xfId="0" applyFont="1" applyBorder="1" applyAlignment="1">
      <alignment horizontal="left"/>
    </xf>
    <xf numFmtId="0" fontId="2" fillId="0" borderId="1" xfId="0" applyFont="1" applyBorder="1" applyAlignment="1">
      <alignment horizontal="left"/>
    </xf>
    <xf numFmtId="0" fontId="8" fillId="0" borderId="1" xfId="0" applyFont="1" applyBorder="1"/>
    <xf numFmtId="0" fontId="2" fillId="0" borderId="0" xfId="0" applyFont="1"/>
    <xf numFmtId="0" fontId="4" fillId="0" borderId="0" xfId="0" applyFont="1" applyAlignment="1">
      <alignment horizontal="left"/>
    </xf>
    <xf numFmtId="0" fontId="4" fillId="0" borderId="1" xfId="0" applyFont="1" applyBorder="1" applyAlignment="1">
      <alignment horizontal="left"/>
    </xf>
    <xf numFmtId="0" fontId="5" fillId="0" borderId="1" xfId="0" applyFont="1" applyBorder="1" applyAlignment="1">
      <alignment horizontal="left"/>
    </xf>
    <xf numFmtId="0" fontId="6" fillId="0" borderId="1" xfId="0" applyFont="1" applyBorder="1"/>
    <xf numFmtId="14" fontId="5" fillId="0" borderId="1" xfId="0" applyNumberFormat="1" applyFont="1" applyBorder="1" applyAlignment="1">
      <alignment horizontal="left"/>
    </xf>
    <xf numFmtId="0" fontId="4" fillId="3" borderId="1" xfId="0" applyFont="1" applyFill="1" applyBorder="1" applyAlignment="1">
      <alignment horizontal="left"/>
    </xf>
    <xf numFmtId="0" fontId="4" fillId="2" borderId="1" xfId="0" applyFont="1" applyFill="1" applyBorder="1" applyAlignment="1">
      <alignment horizontal="left"/>
    </xf>
    <xf numFmtId="0" fontId="9" fillId="0" borderId="1" xfId="1" applyFont="1" applyBorder="1" applyAlignment="1">
      <alignment horizontal="left"/>
    </xf>
    <xf numFmtId="0" fontId="4" fillId="0" borderId="1" xfId="0" applyFont="1" applyBorder="1"/>
    <xf numFmtId="14" fontId="5" fillId="2" borderId="1" xfId="0" applyNumberFormat="1" applyFont="1" applyFill="1" applyBorder="1" applyAlignment="1">
      <alignment horizontal="left"/>
    </xf>
    <xf numFmtId="0" fontId="5" fillId="2" borderId="1" xfId="0" applyFont="1" applyFill="1" applyBorder="1" applyAlignment="1">
      <alignment horizontal="left"/>
    </xf>
    <xf numFmtId="0" fontId="3" fillId="2" borderId="1" xfId="0" applyFont="1" applyFill="1" applyBorder="1" applyAlignment="1">
      <alignment horizontal="left"/>
    </xf>
    <xf numFmtId="0" fontId="4" fillId="2" borderId="0" xfId="0" applyFont="1" applyFill="1" applyAlignment="1">
      <alignment horizontal="left"/>
    </xf>
    <xf numFmtId="0" fontId="10" fillId="0" borderId="1" xfId="0" applyFont="1" applyBorder="1" applyAlignment="1">
      <alignment horizontal="left"/>
    </xf>
    <xf numFmtId="0" fontId="9" fillId="0" borderId="1" xfId="1" applyFont="1" applyBorder="1"/>
    <xf numFmtId="0" fontId="3" fillId="0" borderId="0" xfId="0" applyFont="1" applyAlignment="1">
      <alignment horizontal="left"/>
    </xf>
    <xf numFmtId="0" fontId="4" fillId="0" borderId="1" xfId="0" applyFont="1" applyBorder="1" applyAlignment="1">
      <alignment horizontal="left" vertical="top" wrapText="1"/>
    </xf>
    <xf numFmtId="0" fontId="11" fillId="0" borderId="1" xfId="0" applyFont="1" applyBorder="1" applyAlignment="1">
      <alignment horizontal="left"/>
    </xf>
    <xf numFmtId="0" fontId="12" fillId="0" borderId="1" xfId="0" applyFont="1" applyBorder="1" applyAlignment="1">
      <alignment horizontal="left"/>
    </xf>
    <xf numFmtId="0" fontId="13" fillId="0" borderId="1" xfId="0" applyFont="1" applyBorder="1" applyAlignment="1">
      <alignment horizontal="left"/>
    </xf>
    <xf numFmtId="0" fontId="2" fillId="0" borderId="1" xfId="0" applyFont="1" applyBorder="1"/>
    <xf numFmtId="0" fontId="14" fillId="0" borderId="1" xfId="0" applyFont="1" applyBorder="1"/>
    <xf numFmtId="0" fontId="14" fillId="0" borderId="0" xfId="0" applyFont="1"/>
    <xf numFmtId="14" fontId="0" fillId="0" borderId="0" xfId="0" applyNumberFormat="1"/>
    <xf numFmtId="0" fontId="8" fillId="0" borderId="0" xfId="0" applyFont="1"/>
    <xf numFmtId="0" fontId="0" fillId="0" borderId="0" xfId="0"/>
    <xf numFmtId="1" fontId="15" fillId="0" borderId="1" xfId="0" applyNumberFormat="1" applyFont="1" applyBorder="1" applyAlignment="1">
      <alignment horizontal="left"/>
    </xf>
    <xf numFmtId="0" fontId="15" fillId="0" borderId="1" xfId="0" applyFont="1" applyBorder="1" applyAlignment="1">
      <alignment horizontal="left" textRotation="90"/>
    </xf>
    <xf numFmtId="49" fontId="15" fillId="0" borderId="1" xfId="0" applyNumberFormat="1" applyFont="1" applyBorder="1" applyAlignment="1">
      <alignment horizontal="left" textRotation="90"/>
    </xf>
    <xf numFmtId="0" fontId="16" fillId="0" borderId="1" xfId="0" applyFont="1" applyBorder="1"/>
    <xf numFmtId="0" fontId="0" fillId="4" borderId="1" xfId="0" applyFill="1" applyBorder="1"/>
    <xf numFmtId="0" fontId="0" fillId="5" borderId="1" xfId="0" applyFill="1" applyBorder="1"/>
    <xf numFmtId="0" fontId="0" fillId="0" borderId="2" xfId="0" applyBorder="1"/>
    <xf numFmtId="0" fontId="19" fillId="0" borderId="1" xfId="0" applyFont="1" applyBorder="1"/>
    <xf numFmtId="0" fontId="18" fillId="0" borderId="1" xfId="0" applyFont="1" applyBorder="1"/>
    <xf numFmtId="0" fontId="18" fillId="0" borderId="1" xfId="0" applyFont="1" applyBorder="1" applyAlignment="1">
      <alignment vertical="center"/>
    </xf>
    <xf numFmtId="0" fontId="1" fillId="0" borderId="1" xfId="1" applyBorder="1"/>
    <xf numFmtId="0" fontId="20" fillId="0" borderId="1" xfId="0" applyFont="1" applyBorder="1"/>
    <xf numFmtId="0" fontId="20" fillId="0" borderId="1" xfId="1" applyFont="1" applyBorder="1" applyAlignment="1">
      <alignment horizontal="left" vertical="center"/>
    </xf>
    <xf numFmtId="0" fontId="20" fillId="0" borderId="1" xfId="0" applyFont="1" applyBorder="1" applyAlignment="1">
      <alignment horizontal="left" vertical="center"/>
    </xf>
    <xf numFmtId="0" fontId="21" fillId="0" borderId="1" xfId="0" applyFont="1" applyBorder="1"/>
    <xf numFmtId="0" fontId="0" fillId="6" borderId="1" xfId="0" applyFill="1" applyBorder="1"/>
    <xf numFmtId="0" fontId="4" fillId="6" borderId="1" xfId="0" applyFont="1" applyFill="1" applyBorder="1" applyAlignment="1">
      <alignment horizontal="left"/>
    </xf>
    <xf numFmtId="0" fontId="22" fillId="0" borderId="0" xfId="0" applyFont="1"/>
    <xf numFmtId="1" fontId="3" fillId="0" borderId="0" xfId="0" applyNumberFormat="1" applyFont="1" applyAlignment="1">
      <alignment horizontal="left"/>
    </xf>
    <xf numFmtId="9" fontId="3" fillId="0" borderId="0" xfId="0" applyNumberFormat="1" applyFont="1" applyAlignment="1">
      <alignment horizontal="left"/>
    </xf>
    <xf numFmtId="9" fontId="22" fillId="0" borderId="0" xfId="0" applyNumberFormat="1" applyFont="1" applyAlignment="1">
      <alignment horizontal="left"/>
    </xf>
    <xf numFmtId="0" fontId="22" fillId="0" borderId="0" xfId="0" applyFont="1" applyAlignment="1">
      <alignment horizontal="left"/>
    </xf>
    <xf numFmtId="0" fontId="1" fillId="0" borderId="0" xfId="1"/>
    <xf numFmtId="0" fontId="23" fillId="0" borderId="0" xfId="0" applyFont="1"/>
    <xf numFmtId="0" fontId="21" fillId="0" borderId="1" xfId="0" applyFont="1" applyBorder="1" applyAlignment="1">
      <alignment vertical="center"/>
    </xf>
    <xf numFmtId="0" fontId="0" fillId="0" borderId="1" xfId="0" applyBorder="1" applyAlignment="1">
      <alignment wrapText="1"/>
    </xf>
    <xf numFmtId="0" fontId="24" fillId="0" borderId="1" xfId="0" applyFont="1" applyBorder="1"/>
    <xf numFmtId="0" fontId="25" fillId="0" borderId="1" xfId="0" applyFont="1" applyBorder="1"/>
    <xf numFmtId="0" fontId="26" fillId="0" borderId="1" xfId="0" applyFont="1" applyBorder="1"/>
    <xf numFmtId="9" fontId="0" fillId="0" borderId="1" xfId="0" applyNumberFormat="1" applyBorder="1"/>
    <xf numFmtId="9" fontId="14" fillId="0" borderId="1" xfId="0" applyNumberFormat="1" applyFont="1" applyBorder="1"/>
    <xf numFmtId="9" fontId="2" fillId="0" borderId="1" xfId="0" applyNumberFormat="1" applyFont="1" applyBorder="1"/>
    <xf numFmtId="9" fontId="4" fillId="0" borderId="1" xfId="0" applyNumberFormat="1" applyFont="1" applyBorder="1" applyAlignment="1">
      <alignment horizontal="left"/>
    </xf>
    <xf numFmtId="0" fontId="21" fillId="0" borderId="0" xfId="0" applyFont="1" applyAlignment="1">
      <alignment vertical="center"/>
    </xf>
    <xf numFmtId="0" fontId="27" fillId="0" borderId="0" xfId="0" applyFont="1" applyAlignment="1">
      <alignment horizontal="left"/>
    </xf>
    <xf numFmtId="14" fontId="27" fillId="0" borderId="1" xfId="0" applyNumberFormat="1" applyFont="1" applyBorder="1" applyAlignment="1">
      <alignment horizontal="left"/>
    </xf>
    <xf numFmtId="0" fontId="28" fillId="0" borderId="1" xfId="0" applyFont="1" applyBorder="1" applyAlignment="1">
      <alignment horizontal="left"/>
    </xf>
    <xf numFmtId="0" fontId="27" fillId="4" borderId="1" xfId="0" applyFont="1" applyFill="1" applyBorder="1" applyAlignment="1">
      <alignment horizontal="left"/>
    </xf>
    <xf numFmtId="0" fontId="27" fillId="5" borderId="1" xfId="0" applyFont="1" applyFill="1" applyBorder="1" applyAlignment="1">
      <alignment horizontal="left"/>
    </xf>
    <xf numFmtId="0" fontId="27" fillId="0" borderId="1" xfId="0" applyFont="1" applyBorder="1" applyAlignment="1">
      <alignment horizontal="left"/>
    </xf>
    <xf numFmtId="0" fontId="18" fillId="0" borderId="0" xfId="0" applyFont="1"/>
    <xf numFmtId="9" fontId="27" fillId="0" borderId="0" xfId="0" applyNumberFormat="1" applyFont="1" applyAlignment="1">
      <alignment horizontal="left"/>
    </xf>
    <xf numFmtId="0" fontId="27" fillId="6" borderId="1" xfId="0" applyFont="1" applyFill="1" applyBorder="1" applyAlignment="1">
      <alignment horizontal="left"/>
    </xf>
    <xf numFmtId="0" fontId="27" fillId="0" borderId="1" xfId="0" applyFont="1" applyBorder="1"/>
    <xf numFmtId="0" fontId="27" fillId="4" borderId="1" xfId="0" applyFont="1" applyFill="1" applyBorder="1"/>
    <xf numFmtId="0" fontId="27" fillId="0" borderId="0" xfId="0" applyFont="1"/>
    <xf numFmtId="0" fontId="27" fillId="0" borderId="1" xfId="0" applyFont="1" applyBorder="1" applyAlignment="1">
      <alignment wrapText="1"/>
    </xf>
    <xf numFmtId="14" fontId="27" fillId="0" borderId="1" xfId="0" applyNumberFormat="1" applyFont="1" applyBorder="1"/>
    <xf numFmtId="0" fontId="17" fillId="0" borderId="1" xfId="0" applyFont="1" applyBorder="1"/>
    <xf numFmtId="0" fontId="29" fillId="5" borderId="1" xfId="0" applyFont="1" applyFill="1" applyBorder="1"/>
    <xf numFmtId="0" fontId="30" fillId="0" borderId="1" xfId="1" applyFont="1" applyBorder="1"/>
    <xf numFmtId="0" fontId="29" fillId="0" borderId="1" xfId="0" applyFont="1" applyBorder="1"/>
    <xf numFmtId="14" fontId="0" fillId="0" borderId="2" xfId="0" applyNumberFormat="1" applyBorder="1"/>
    <xf numFmtId="14" fontId="0" fillId="0" borderId="1" xfId="0" applyNumberFormat="1" applyBorder="1"/>
    <xf numFmtId="0" fontId="0" fillId="0" borderId="1" xfId="0" applyBorder="1"/>
    <xf numFmtId="0" fontId="2" fillId="7" borderId="5" xfId="0" applyFont="1" applyFill="1" applyBorder="1" applyAlignment="1">
      <alignment vertical="center" wrapText="1"/>
    </xf>
    <xf numFmtId="0" fontId="2" fillId="7" borderId="6" xfId="0" applyFont="1" applyFill="1" applyBorder="1" applyAlignment="1">
      <alignment vertical="center" wrapText="1"/>
    </xf>
    <xf numFmtId="0" fontId="3" fillId="0" borderId="1" xfId="0" applyFont="1" applyBorder="1" applyAlignment="1">
      <alignment horizontal="left"/>
    </xf>
    <xf numFmtId="0" fontId="15" fillId="0" borderId="1" xfId="0" applyFont="1" applyBorder="1" applyAlignment="1">
      <alignment horizontal="left"/>
    </xf>
    <xf numFmtId="0" fontId="3" fillId="0" borderId="1" xfId="0" applyFont="1" applyBorder="1" applyAlignment="1">
      <alignment horizontal="left"/>
    </xf>
    <xf numFmtId="0" fontId="0" fillId="0" borderId="3" xfId="0" applyBorder="1"/>
    <xf numFmtId="0" fontId="0" fillId="0" borderId="4" xfId="0" applyBorder="1"/>
    <xf numFmtId="0" fontId="15" fillId="0" borderId="1" xfId="0" applyFont="1" applyBorder="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mailto:hawkinssamuel78@gmail.com" TargetMode="External"/><Relationship Id="rId13" Type="http://schemas.openxmlformats.org/officeDocument/2006/relationships/hyperlink" Target="mailto:jebastine.a.hp@hitachi-systems.com" TargetMode="External"/><Relationship Id="rId18" Type="http://schemas.openxmlformats.org/officeDocument/2006/relationships/hyperlink" Target="mailto:dmariaantony@dxc.com" TargetMode="External"/><Relationship Id="rId3" Type="http://schemas.openxmlformats.org/officeDocument/2006/relationships/hyperlink" Target="https://www.linkedin.com/in/g-gnana-sekhar-0a766591/" TargetMode="External"/><Relationship Id="rId7" Type="http://schemas.openxmlformats.org/officeDocument/2006/relationships/hyperlink" Target="mailto:ashiffcv@gmail.com" TargetMode="External"/><Relationship Id="rId12" Type="http://schemas.openxmlformats.org/officeDocument/2006/relationships/hyperlink" Target="mailto:sakthi0511208@gmail.com" TargetMode="External"/><Relationship Id="rId17" Type="http://schemas.openxmlformats.org/officeDocument/2006/relationships/hyperlink" Target="mailto:pprasad@live.in" TargetMode="External"/><Relationship Id="rId2" Type="http://schemas.openxmlformats.org/officeDocument/2006/relationships/hyperlink" Target="mailto:vimal.k.hk@hitachi-systems.com" TargetMode="External"/><Relationship Id="rId16" Type="http://schemas.openxmlformats.org/officeDocument/2006/relationships/hyperlink" Target="mailto:vksvinoth9@gmail.com" TargetMode="External"/><Relationship Id="rId1" Type="http://schemas.openxmlformats.org/officeDocument/2006/relationships/hyperlink" Target="https://www.linkedin.com/in/guru-sai-prasanth-62672ab3" TargetMode="External"/><Relationship Id="rId6" Type="http://schemas.openxmlformats.org/officeDocument/2006/relationships/hyperlink" Target="mailto:hariv2401@gmail.com" TargetMode="External"/><Relationship Id="rId11" Type="http://schemas.openxmlformats.org/officeDocument/2006/relationships/hyperlink" Target="mailto:mahaarunachalams@presidio.com" TargetMode="External"/><Relationship Id="rId5" Type="http://schemas.openxmlformats.org/officeDocument/2006/relationships/hyperlink" Target="https://www.linkedin.com/in/s-balamurugan-a985b7290/" TargetMode="External"/><Relationship Id="rId15" Type="http://schemas.openxmlformats.org/officeDocument/2006/relationships/hyperlink" Target="mailto:maryrajamraji01@gmail.com" TargetMode="External"/><Relationship Id="rId10" Type="http://schemas.openxmlformats.org/officeDocument/2006/relationships/hyperlink" Target="mailto:sss@presidio.com" TargetMode="External"/><Relationship Id="rId4" Type="http://schemas.openxmlformats.org/officeDocument/2006/relationships/hyperlink" Target="https://www.linkedin.com/in/bhavani-mohan-7b49a9385/" TargetMode="External"/><Relationship Id="rId9" Type="http://schemas.openxmlformats.org/officeDocument/2006/relationships/hyperlink" Target="mailto:m.abishek1@gmail.com" TargetMode="External"/><Relationship Id="rId14" Type="http://schemas.openxmlformats.org/officeDocument/2006/relationships/hyperlink" Target="mailto:s.balasubramanian2310@gmail.com" TargetMode="External"/></Relationships>
</file>

<file path=xl/worksheets/_rels/sheet2.xml.rels><?xml version="1.0" encoding="UTF-8" standalone="yes"?>
<Relationships xmlns="http://schemas.openxmlformats.org/package/2006/relationships"><Relationship Id="rId13" Type="http://schemas.openxmlformats.org/officeDocument/2006/relationships/hyperlink" Target="mailto:vinothraj.ganesan@hitachi-systems.co.in" TargetMode="External"/><Relationship Id="rId18" Type="http://schemas.openxmlformats.org/officeDocument/2006/relationships/hyperlink" Target="mailto:adityaaroyy@gmail.com" TargetMode="External"/><Relationship Id="rId26" Type="http://schemas.openxmlformats.org/officeDocument/2006/relationships/hyperlink" Target="mailto:svmuthugopi@gmail.com" TargetMode="External"/><Relationship Id="rId39" Type="http://schemas.openxmlformats.org/officeDocument/2006/relationships/hyperlink" Target="mailto:vicky26340834@gmail.com" TargetMode="External"/><Relationship Id="rId21" Type="http://schemas.openxmlformats.org/officeDocument/2006/relationships/hyperlink" Target="mailto:jaganadhan1991@gmail.com" TargetMode="External"/><Relationship Id="rId34" Type="http://schemas.openxmlformats.org/officeDocument/2006/relationships/hyperlink" Target="mailto:kevinsam0898@gmail.com" TargetMode="External"/><Relationship Id="rId42" Type="http://schemas.openxmlformats.org/officeDocument/2006/relationships/hyperlink" Target="mailto:sai.prasanth@koenig-solutions.com" TargetMode="External"/><Relationship Id="rId7" Type="http://schemas.openxmlformats.org/officeDocument/2006/relationships/hyperlink" Target="mailto:kiran2707@gmail.com" TargetMode="External"/><Relationship Id="rId2" Type="http://schemas.openxmlformats.org/officeDocument/2006/relationships/hyperlink" Target="mailto:vijayanrece@hotmail.com" TargetMode="External"/><Relationship Id="rId16" Type="http://schemas.openxmlformats.org/officeDocument/2006/relationships/hyperlink" Target="mailto:pmahendra96@gmail.com" TargetMode="External"/><Relationship Id="rId20" Type="http://schemas.openxmlformats.org/officeDocument/2006/relationships/hyperlink" Target="mailto:vlaxmi9489@gmail.com" TargetMode="External"/><Relationship Id="rId29" Type="http://schemas.openxmlformats.org/officeDocument/2006/relationships/hyperlink" Target="mailto:sathytce@gmail.com" TargetMode="External"/><Relationship Id="rId41" Type="http://schemas.openxmlformats.org/officeDocument/2006/relationships/hyperlink" Target="mailto:gugank27@gmail.com" TargetMode="External"/><Relationship Id="rId1" Type="http://schemas.openxmlformats.org/officeDocument/2006/relationships/hyperlink" Target="mailto:mailtodinesh0808@gmail.com" TargetMode="External"/><Relationship Id="rId6" Type="http://schemas.openxmlformats.org/officeDocument/2006/relationships/hyperlink" Target="mailto:shatasarankannan@gmail.com" TargetMode="External"/><Relationship Id="rId11" Type="http://schemas.openxmlformats.org/officeDocument/2006/relationships/hyperlink" Target="mailto:vkkumar1983@gmail.com" TargetMode="External"/><Relationship Id="rId24" Type="http://schemas.openxmlformats.org/officeDocument/2006/relationships/hyperlink" Target="mailto:kiruthigaramani@gmail.com" TargetMode="External"/><Relationship Id="rId32" Type="http://schemas.openxmlformats.org/officeDocument/2006/relationships/hyperlink" Target="mailto:ayushanandgeorge12@gmail.com" TargetMode="External"/><Relationship Id="rId37" Type="http://schemas.openxmlformats.org/officeDocument/2006/relationships/hyperlink" Target="mailto:rajiaramya@gmail.com" TargetMode="External"/><Relationship Id="rId40" Type="http://schemas.openxmlformats.org/officeDocument/2006/relationships/hyperlink" Target="mailto:Lalithlikesind@yahoo.com" TargetMode="External"/><Relationship Id="rId5" Type="http://schemas.openxmlformats.org/officeDocument/2006/relationships/hyperlink" Target="mailto:arunlokesh78@gmail.com" TargetMode="External"/><Relationship Id="rId15" Type="http://schemas.openxmlformats.org/officeDocument/2006/relationships/hyperlink" Target="mailto:vlaxmi9489@gmail.com" TargetMode="External"/><Relationship Id="rId23" Type="http://schemas.openxmlformats.org/officeDocument/2006/relationships/hyperlink" Target="mailto:sivakumarrevanth@gmail.com" TargetMode="External"/><Relationship Id="rId28" Type="http://schemas.openxmlformats.org/officeDocument/2006/relationships/hyperlink" Target="mailto:s.balasubramanian2310@gmail.com" TargetMode="External"/><Relationship Id="rId36" Type="http://schemas.openxmlformats.org/officeDocument/2006/relationships/hyperlink" Target="mailto:daspratha@gmail.com" TargetMode="External"/><Relationship Id="rId10" Type="http://schemas.openxmlformats.org/officeDocument/2006/relationships/hyperlink" Target="mailto:irshadahamedlinux20@gmail.com" TargetMode="External"/><Relationship Id="rId19" Type="http://schemas.openxmlformats.org/officeDocument/2006/relationships/hyperlink" Target="mailto:bhavani.mohan@citi.com" TargetMode="External"/><Relationship Id="rId31" Type="http://schemas.openxmlformats.org/officeDocument/2006/relationships/hyperlink" Target="mailto:ameenkhan7ad@gmail.com" TargetMode="External"/><Relationship Id="rId4" Type="http://schemas.openxmlformats.org/officeDocument/2006/relationships/hyperlink" Target="mailto:sai.prasanth@koenig-solutions.com" TargetMode="External"/><Relationship Id="rId9" Type="http://schemas.openxmlformats.org/officeDocument/2006/relationships/hyperlink" Target="mailto:sai.prasanth@koenig-solutions.com" TargetMode="External"/><Relationship Id="rId14" Type="http://schemas.openxmlformats.org/officeDocument/2006/relationships/hyperlink" Target="mailto:soundar033@gmail.com" TargetMode="External"/><Relationship Id="rId22" Type="http://schemas.openxmlformats.org/officeDocument/2006/relationships/hyperlink" Target="mailto:madhunila2001@gmail.com" TargetMode="External"/><Relationship Id="rId27" Type="http://schemas.openxmlformats.org/officeDocument/2006/relationships/hyperlink" Target="mailto:lakshmipriya1102000@gmail.com" TargetMode="External"/><Relationship Id="rId30" Type="http://schemas.openxmlformats.org/officeDocument/2006/relationships/hyperlink" Target="mailto:pprasad.in@gmail.com" TargetMode="External"/><Relationship Id="rId35" Type="http://schemas.openxmlformats.org/officeDocument/2006/relationships/hyperlink" Target="mailto:ronmathew999@gmail.com" TargetMode="External"/><Relationship Id="rId8" Type="http://schemas.openxmlformats.org/officeDocument/2006/relationships/hyperlink" Target="mailto:paulprem52@gmail.com" TargetMode="External"/><Relationship Id="rId3" Type="http://schemas.openxmlformats.org/officeDocument/2006/relationships/hyperlink" Target="mailto:barathkumar045@gmail.com" TargetMode="External"/><Relationship Id="rId12" Type="http://schemas.openxmlformats.org/officeDocument/2006/relationships/hyperlink" Target="mailto:sec20cb002@sairamtap.edu.in" TargetMode="External"/><Relationship Id="rId17" Type="http://schemas.openxmlformats.org/officeDocument/2006/relationships/hyperlink" Target="mailto:sabaresh004@gmail.com" TargetMode="External"/><Relationship Id="rId25" Type="http://schemas.openxmlformats.org/officeDocument/2006/relationships/hyperlink" Target="mailto:mohankumar.elumalai09@gmail.com" TargetMode="External"/><Relationship Id="rId33" Type="http://schemas.openxmlformats.org/officeDocument/2006/relationships/hyperlink" Target="mailto:pmahendra96@gmail.com" TargetMode="External"/><Relationship Id="rId38" Type="http://schemas.openxmlformats.org/officeDocument/2006/relationships/hyperlink" Target="mailto:gugank27@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mailto:2mkprabhu@gmail.com" TargetMode="External"/><Relationship Id="rId2" Type="http://schemas.openxmlformats.org/officeDocument/2006/relationships/hyperlink" Target="mailto:dgokulprasad@gmail.com" TargetMode="External"/><Relationship Id="rId1" Type="http://schemas.openxmlformats.org/officeDocument/2006/relationships/hyperlink" Target="mailto:ramsukumar26@gmail.com" TargetMode="External"/><Relationship Id="rId6" Type="http://schemas.openxmlformats.org/officeDocument/2006/relationships/hyperlink" Target="mailto:saigopi.2011@gmail.com" TargetMode="External"/><Relationship Id="rId5" Type="http://schemas.openxmlformats.org/officeDocument/2006/relationships/hyperlink" Target="mailto:ramsukumar26@gmail.com" TargetMode="External"/><Relationship Id="rId4" Type="http://schemas.openxmlformats.org/officeDocument/2006/relationships/hyperlink" Target="mailto:sai.prasanth@koenig-solutions.com"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linkedin.com/in/saicharan-neerumalla-8501b5146/" TargetMode="External"/><Relationship Id="rId2" Type="http://schemas.openxmlformats.org/officeDocument/2006/relationships/hyperlink" Target="mailto:robinsondear@gmail.com" TargetMode="External"/><Relationship Id="rId1" Type="http://schemas.openxmlformats.org/officeDocument/2006/relationships/hyperlink" Target="mailto:jpoopathi@gmail.com" TargetMode="External"/><Relationship Id="rId4" Type="http://schemas.openxmlformats.org/officeDocument/2006/relationships/hyperlink" Target="mailto:jaiganesh.offical@gmail.com"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mailto:chandrualagesan@gmail.com" TargetMode="External"/><Relationship Id="rId7" Type="http://schemas.openxmlformats.org/officeDocument/2006/relationships/hyperlink" Target="mailto:balashanmugam@vectratech.in" TargetMode="External"/><Relationship Id="rId2" Type="http://schemas.openxmlformats.org/officeDocument/2006/relationships/hyperlink" Target="mailto:manikandank19102001@gmail.com" TargetMode="External"/><Relationship Id="rId1" Type="http://schemas.openxmlformats.org/officeDocument/2006/relationships/hyperlink" Target="mailto:akshayagirivaradhrajan@gmail.com" TargetMode="External"/><Relationship Id="rId6" Type="http://schemas.openxmlformats.org/officeDocument/2006/relationships/hyperlink" Target="https://www.linkedin.com/in/s-bala-subramanian-77bba9138/" TargetMode="External"/><Relationship Id="rId5" Type="http://schemas.openxmlformats.org/officeDocument/2006/relationships/hyperlink" Target="https://www.linkedin.com/in/mathan-kumar-m-5496b5171/" TargetMode="External"/><Relationship Id="rId4" Type="http://schemas.openxmlformats.org/officeDocument/2006/relationships/hyperlink" Target="mailto:vivekanandan.k@vectratech.in"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mailto:ancil.seelan@gmail.com" TargetMode="External"/><Relationship Id="rId3" Type="http://schemas.openxmlformats.org/officeDocument/2006/relationships/hyperlink" Target="https://www.linkedin.com/in/vijayan-r-8a730657/" TargetMode="External"/><Relationship Id="rId7" Type="http://schemas.openxmlformats.org/officeDocument/2006/relationships/hyperlink" Target="mailto:priyanka.kumari13@wipro.com" TargetMode="External"/><Relationship Id="rId2" Type="http://schemas.openxmlformats.org/officeDocument/2006/relationships/hyperlink" Target="https://www.linkedin.com/in/durga-prasad-gopu-233b6619a/" TargetMode="External"/><Relationship Id="rId1" Type="http://schemas.openxmlformats.org/officeDocument/2006/relationships/hyperlink" Target="mailto:ggopinathr@gmail.com" TargetMode="External"/><Relationship Id="rId6" Type="http://schemas.openxmlformats.org/officeDocument/2006/relationships/hyperlink" Target="mailto:77rajesh77@gmail.com" TargetMode="External"/><Relationship Id="rId11" Type="http://schemas.openxmlformats.org/officeDocument/2006/relationships/hyperlink" Target="mailto:sai.prasanth@koenig-solutions.com" TargetMode="External"/><Relationship Id="rId5" Type="http://schemas.openxmlformats.org/officeDocument/2006/relationships/hyperlink" Target="https://www.linkedin.com/in/muruganantham-i-960982231/" TargetMode="External"/><Relationship Id="rId10" Type="http://schemas.openxmlformats.org/officeDocument/2006/relationships/hyperlink" Target="mailto:nesankalai05@gmail.com" TargetMode="External"/><Relationship Id="rId4" Type="http://schemas.openxmlformats.org/officeDocument/2006/relationships/hyperlink" Target="mailto:imuruganantham2000@gmail.com" TargetMode="External"/><Relationship Id="rId9" Type="http://schemas.openxmlformats.org/officeDocument/2006/relationships/hyperlink" Target="mailto:ai.prasanth@koenig-solutions.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www.linkedin.com/in/vijaya-viji-60a17041a/" TargetMode="External"/><Relationship Id="rId13" Type="http://schemas.openxmlformats.org/officeDocument/2006/relationships/hyperlink" Target="mailto:abdulfaheemshah@gmail.com" TargetMode="External"/><Relationship Id="rId18" Type="http://schemas.openxmlformats.org/officeDocument/2006/relationships/hyperlink" Target="https://www.linkedin.com/company/985455/" TargetMode="External"/><Relationship Id="rId3" Type="http://schemas.openxmlformats.org/officeDocument/2006/relationships/hyperlink" Target="mailto:jyotsana.yageetha@gmail.com" TargetMode="External"/><Relationship Id="rId7" Type="http://schemas.openxmlformats.org/officeDocument/2006/relationships/hyperlink" Target="mailto:abishtk1999@gmail.com" TargetMode="External"/><Relationship Id="rId12" Type="http://schemas.openxmlformats.org/officeDocument/2006/relationships/hyperlink" Target="mailto:murugavmns294@gmail.com" TargetMode="External"/><Relationship Id="rId17" Type="http://schemas.openxmlformats.org/officeDocument/2006/relationships/hyperlink" Target="mailto:cmanojve@ford.com" TargetMode="External"/><Relationship Id="rId2" Type="http://schemas.openxmlformats.org/officeDocument/2006/relationships/hyperlink" Target="https://www.linkedin.com/company/1353/" TargetMode="External"/><Relationship Id="rId16" Type="http://schemas.openxmlformats.org/officeDocument/2006/relationships/hyperlink" Target="mailto:vijayakumar.g@citi.com" TargetMode="External"/><Relationship Id="rId1" Type="http://schemas.openxmlformats.org/officeDocument/2006/relationships/hyperlink" Target="mailto:akshayagirivaradhrajan@gmail.com" TargetMode="External"/><Relationship Id="rId6" Type="http://schemas.openxmlformats.org/officeDocument/2006/relationships/hyperlink" Target="mailto:sakthid.oanandh@gmail.com" TargetMode="External"/><Relationship Id="rId11" Type="http://schemas.openxmlformats.org/officeDocument/2006/relationships/hyperlink" Target="mailto:abishtk1999@gmail.com" TargetMode="External"/><Relationship Id="rId5" Type="http://schemas.openxmlformats.org/officeDocument/2006/relationships/hyperlink" Target="https://www.linkedin.com/company/7771/" TargetMode="External"/><Relationship Id="rId15" Type="http://schemas.openxmlformats.org/officeDocument/2006/relationships/hyperlink" Target="mailto:sanjay@vectratech.in" TargetMode="External"/><Relationship Id="rId10" Type="http://schemas.openxmlformats.org/officeDocument/2006/relationships/hyperlink" Target="mailto:santhoshkumar.v@wipro.com" TargetMode="External"/><Relationship Id="rId19" Type="http://schemas.openxmlformats.org/officeDocument/2006/relationships/hyperlink" Target="mailto:nmprabhakar25@gmail.com" TargetMode="External"/><Relationship Id="rId4" Type="http://schemas.openxmlformats.org/officeDocument/2006/relationships/hyperlink" Target="mailto:rajangurusamy@gmail.com" TargetMode="External"/><Relationship Id="rId9" Type="http://schemas.openxmlformats.org/officeDocument/2006/relationships/hyperlink" Target="mailto:jerishj001@gmail.com" TargetMode="External"/><Relationship Id="rId14" Type="http://schemas.openxmlformats.org/officeDocument/2006/relationships/hyperlink" Target="mailto:devopssumathi@gmail.com" TargetMode="External"/></Relationships>
</file>

<file path=xl/worksheets/_rels/sheet8.xml.rels><?xml version="1.0" encoding="UTF-8" standalone="yes"?>
<Relationships xmlns="http://schemas.openxmlformats.org/package/2006/relationships"><Relationship Id="rId3" Type="http://schemas.openxmlformats.org/officeDocument/2006/relationships/hyperlink" Target="mailto:sai.prasanth@koenig-solutions.com" TargetMode="External"/><Relationship Id="rId2" Type="http://schemas.openxmlformats.org/officeDocument/2006/relationships/hyperlink" Target="https://www.linkedin.com/company/2777667/" TargetMode="External"/><Relationship Id="rId1" Type="http://schemas.openxmlformats.org/officeDocument/2006/relationships/hyperlink" Target="mailto:mails2jk222@gmail.com"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mailto:dhaneshramu@gmail.com" TargetMode="External"/><Relationship Id="rId3" Type="http://schemas.openxmlformats.org/officeDocument/2006/relationships/hyperlink" Target="mailto:ponmeritter@gmail.com" TargetMode="External"/><Relationship Id="rId7" Type="http://schemas.openxmlformats.org/officeDocument/2006/relationships/hyperlink" Target="mailto:rekhakolaru@gmail.com" TargetMode="External"/><Relationship Id="rId2" Type="http://schemas.openxmlformats.org/officeDocument/2006/relationships/hyperlink" Target="https://www.linkedin.com/company/14407852/" TargetMode="External"/><Relationship Id="rId1" Type="http://schemas.openxmlformats.org/officeDocument/2006/relationships/hyperlink" Target="https://www.linkedin.com/company/14407852/" TargetMode="External"/><Relationship Id="rId6" Type="http://schemas.openxmlformats.org/officeDocument/2006/relationships/hyperlink" Target="mailto:chidambar122@gmail.com" TargetMode="External"/><Relationship Id="rId11" Type="http://schemas.openxmlformats.org/officeDocument/2006/relationships/hyperlink" Target="mailto:nabhijit@ford.com" TargetMode="External"/><Relationship Id="rId5" Type="http://schemas.openxmlformats.org/officeDocument/2006/relationships/hyperlink" Target="mailto:sivakumar.ts@ibm.com" TargetMode="External"/><Relationship Id="rId10" Type="http://schemas.openxmlformats.org/officeDocument/2006/relationships/hyperlink" Target="mailto:nedumohan88@gmail.com" TargetMode="External"/><Relationship Id="rId4" Type="http://schemas.openxmlformats.org/officeDocument/2006/relationships/hyperlink" Target="mailto:srisaicharan7@gmail.com" TargetMode="External"/><Relationship Id="rId9" Type="http://schemas.openxmlformats.org/officeDocument/2006/relationships/hyperlink" Target="https://www.linkedin.com/company/71508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82"/>
  <sheetViews>
    <sheetView topLeftCell="A44" zoomScale="85" zoomScaleNormal="85" workbookViewId="0">
      <selection activeCell="S76" sqref="S76"/>
    </sheetView>
  </sheetViews>
  <sheetFormatPr defaultColWidth="8.7265625" defaultRowHeight="13"/>
  <cols>
    <col min="1" max="1" width="14.26953125" style="19" bestFit="1" customWidth="1"/>
    <col min="2" max="2" width="30.7265625" style="19" bestFit="1" customWidth="1"/>
    <col min="3" max="3" width="16.54296875" style="19" customWidth="1"/>
    <col min="4" max="4" width="29.7265625" style="19" customWidth="1"/>
    <col min="5" max="5" width="13.453125" style="19" bestFit="1" customWidth="1"/>
    <col min="6" max="6" width="8.26953125" style="19" customWidth="1"/>
    <col min="7" max="7" width="17.81640625" style="19" bestFit="1" customWidth="1"/>
    <col min="8" max="8" width="4.7265625" style="19" customWidth="1"/>
    <col min="9" max="9" width="28.54296875" style="19" customWidth="1"/>
    <col min="10" max="10" width="5" style="19" customWidth="1"/>
    <col min="11" max="11" width="13.1796875" style="19" bestFit="1" customWidth="1"/>
    <col min="12" max="12" width="5.26953125" style="19" customWidth="1"/>
    <col min="13" max="13" width="4" style="19" customWidth="1"/>
    <col min="14" max="16" width="3.7265625" style="19" customWidth="1"/>
    <col min="17" max="17" width="15.26953125" style="19" bestFit="1" customWidth="1"/>
    <col min="18" max="18" width="33.7265625" style="19" customWidth="1"/>
    <col min="19" max="19" width="22.54296875" style="19" customWidth="1"/>
    <col min="20" max="21" width="4" style="19" customWidth="1"/>
    <col min="22" max="22" width="4.26953125" style="19" customWidth="1"/>
    <col min="23" max="23" width="3.26953125" style="19" customWidth="1"/>
    <col min="24" max="24" width="3.7265625" style="19" customWidth="1"/>
    <col min="25" max="25" width="3.54296875" style="19" customWidth="1"/>
    <col min="26" max="26" width="3.7265625" style="19" customWidth="1"/>
    <col min="27" max="27" width="3.54296875" style="19" customWidth="1"/>
    <col min="28" max="30" width="8.7265625" style="19" customWidth="1"/>
    <col min="31" max="16384" width="8.7265625" style="19"/>
  </cols>
  <sheetData>
    <row r="1" spans="1:9" ht="15" customHeight="1">
      <c r="A1" s="104" t="s">
        <v>0</v>
      </c>
      <c r="B1" s="105"/>
      <c r="C1" s="105"/>
      <c r="D1" s="105"/>
      <c r="E1" s="106"/>
      <c r="F1" s="34"/>
    </row>
    <row r="2" spans="1:9">
      <c r="A2" s="102" t="s">
        <v>1</v>
      </c>
      <c r="B2" s="102">
        <v>2093</v>
      </c>
      <c r="C2" s="102">
        <v>2337</v>
      </c>
      <c r="D2" s="102">
        <v>2394</v>
      </c>
      <c r="E2" s="102" t="s">
        <v>2</v>
      </c>
      <c r="F2" s="34"/>
    </row>
    <row r="3" spans="1:9">
      <c r="A3" s="23">
        <v>46024</v>
      </c>
      <c r="B3" s="20">
        <v>1</v>
      </c>
      <c r="C3" s="20">
        <v>2</v>
      </c>
      <c r="D3" s="20">
        <v>1</v>
      </c>
      <c r="E3" s="20">
        <f t="shared" ref="E3:E17" si="0">SUM(B3:D3)</f>
        <v>4</v>
      </c>
    </row>
    <row r="4" spans="1:9">
      <c r="A4" s="23">
        <v>46027</v>
      </c>
      <c r="B4" s="20">
        <v>2</v>
      </c>
      <c r="C4" s="20">
        <v>2</v>
      </c>
      <c r="D4" s="20">
        <v>1</v>
      </c>
      <c r="E4" s="20">
        <f t="shared" si="0"/>
        <v>5</v>
      </c>
    </row>
    <row r="5" spans="1:9">
      <c r="A5" s="23">
        <v>46028</v>
      </c>
      <c r="B5" s="20">
        <v>2</v>
      </c>
      <c r="C5" s="20">
        <v>2</v>
      </c>
      <c r="D5" s="20">
        <v>1</v>
      </c>
      <c r="E5" s="20">
        <f t="shared" si="0"/>
        <v>5</v>
      </c>
    </row>
    <row r="6" spans="1:9">
      <c r="A6" s="23">
        <v>46029</v>
      </c>
      <c r="B6" s="20">
        <v>1</v>
      </c>
      <c r="C6" s="20">
        <v>1</v>
      </c>
      <c r="D6" s="20">
        <v>1</v>
      </c>
      <c r="E6" s="20">
        <f t="shared" si="0"/>
        <v>3</v>
      </c>
    </row>
    <row r="7" spans="1:9">
      <c r="A7" s="23">
        <v>46030</v>
      </c>
      <c r="B7" s="20">
        <v>2</v>
      </c>
      <c r="C7" s="20">
        <v>2</v>
      </c>
      <c r="D7" s="20">
        <v>1</v>
      </c>
      <c r="E7" s="20">
        <f t="shared" si="0"/>
        <v>5</v>
      </c>
    </row>
    <row r="8" spans="1:9">
      <c r="A8" s="23">
        <v>46031</v>
      </c>
      <c r="B8" s="20">
        <v>1</v>
      </c>
      <c r="C8" s="20">
        <v>1</v>
      </c>
      <c r="D8" s="20">
        <v>1</v>
      </c>
      <c r="E8" s="20">
        <f t="shared" si="0"/>
        <v>3</v>
      </c>
    </row>
    <row r="9" spans="1:9">
      <c r="A9" s="23">
        <v>46034</v>
      </c>
      <c r="B9" s="20">
        <v>1</v>
      </c>
      <c r="C9" s="20">
        <v>2</v>
      </c>
      <c r="D9" s="20">
        <v>1</v>
      </c>
      <c r="E9" s="20">
        <f t="shared" si="0"/>
        <v>4</v>
      </c>
    </row>
    <row r="10" spans="1:9">
      <c r="A10" s="23">
        <v>46042</v>
      </c>
      <c r="B10" s="20">
        <v>2</v>
      </c>
      <c r="C10" s="20"/>
      <c r="D10" s="20"/>
      <c r="E10" s="20">
        <f t="shared" si="0"/>
        <v>2</v>
      </c>
    </row>
    <row r="11" spans="1:9">
      <c r="A11" s="23">
        <v>46043</v>
      </c>
      <c r="B11" s="20">
        <v>2</v>
      </c>
      <c r="C11" s="20">
        <v>1</v>
      </c>
      <c r="D11" s="20">
        <v>1</v>
      </c>
      <c r="E11" s="20">
        <f t="shared" si="0"/>
        <v>4</v>
      </c>
    </row>
    <row r="12" spans="1:9">
      <c r="A12" s="23">
        <v>46044</v>
      </c>
      <c r="B12" s="20">
        <v>2</v>
      </c>
      <c r="C12" s="20">
        <v>1</v>
      </c>
      <c r="D12" s="20">
        <v>1</v>
      </c>
      <c r="E12" s="20">
        <f t="shared" si="0"/>
        <v>4</v>
      </c>
    </row>
    <row r="13" spans="1:9">
      <c r="A13" s="23">
        <v>46045</v>
      </c>
      <c r="B13" s="20">
        <v>1</v>
      </c>
      <c r="C13" s="20">
        <v>1</v>
      </c>
      <c r="D13" s="20">
        <v>1</v>
      </c>
      <c r="E13" s="20">
        <f t="shared" si="0"/>
        <v>3</v>
      </c>
    </row>
    <row r="14" spans="1:9">
      <c r="A14" s="23">
        <v>46049</v>
      </c>
      <c r="B14" s="20">
        <v>2</v>
      </c>
      <c r="C14" s="20">
        <v>1</v>
      </c>
      <c r="D14" s="20"/>
      <c r="E14" s="20">
        <f t="shared" si="0"/>
        <v>3</v>
      </c>
    </row>
    <row r="15" spans="1:9">
      <c r="A15" s="23">
        <v>46050</v>
      </c>
      <c r="B15" s="20">
        <v>2</v>
      </c>
      <c r="C15" s="20">
        <v>1</v>
      </c>
      <c r="D15" s="20"/>
      <c r="E15" s="20">
        <f t="shared" si="0"/>
        <v>3</v>
      </c>
      <c r="I15" s="68"/>
    </row>
    <row r="16" spans="1:9">
      <c r="A16" s="23">
        <v>46051</v>
      </c>
      <c r="B16" s="20">
        <v>2</v>
      </c>
      <c r="C16" s="20"/>
      <c r="D16" s="20">
        <v>1</v>
      </c>
      <c r="E16" s="20">
        <f t="shared" si="0"/>
        <v>3</v>
      </c>
    </row>
    <row r="17" spans="1:27">
      <c r="A17" s="23">
        <v>46052</v>
      </c>
      <c r="B17" s="20">
        <v>2</v>
      </c>
      <c r="C17" s="20">
        <v>3</v>
      </c>
      <c r="D17" s="20">
        <v>2</v>
      </c>
      <c r="E17" s="20">
        <f t="shared" si="0"/>
        <v>7</v>
      </c>
    </row>
    <row r="18" spans="1:27">
      <c r="A18" s="20" t="s">
        <v>3</v>
      </c>
      <c r="B18" s="20">
        <f>SUM(B3:B17)</f>
        <v>25</v>
      </c>
      <c r="C18" s="20">
        <f>SUM(C3:C17)</f>
        <v>20</v>
      </c>
      <c r="D18" s="20">
        <f>SUM(D3:D17)</f>
        <v>13</v>
      </c>
      <c r="E18" s="20"/>
    </row>
    <row r="19" spans="1:27">
      <c r="D19" s="20" t="s">
        <v>4</v>
      </c>
      <c r="E19" s="20">
        <f>SUM(E3:E17)</f>
        <v>58</v>
      </c>
    </row>
    <row r="21" spans="1:27" ht="159.75" customHeight="1">
      <c r="A21" s="102" t="s">
        <v>1</v>
      </c>
      <c r="B21" s="102" t="s">
        <v>5</v>
      </c>
      <c r="C21" s="102" t="s">
        <v>6</v>
      </c>
      <c r="D21" s="102" t="s">
        <v>7</v>
      </c>
      <c r="E21" s="102" t="s">
        <v>8</v>
      </c>
      <c r="F21" s="1" t="s">
        <v>9</v>
      </c>
      <c r="G21" s="1" t="s">
        <v>10</v>
      </c>
      <c r="H21" s="2" t="s">
        <v>11</v>
      </c>
      <c r="I21" s="102" t="s">
        <v>12</v>
      </c>
      <c r="J21" s="1" t="s">
        <v>13</v>
      </c>
      <c r="K21" s="102" t="s">
        <v>12</v>
      </c>
      <c r="L21" s="1" t="s">
        <v>14</v>
      </c>
      <c r="M21" s="1" t="s">
        <v>15</v>
      </c>
      <c r="N21" s="1" t="s">
        <v>16</v>
      </c>
      <c r="O21" s="1" t="s">
        <v>17</v>
      </c>
      <c r="P21" s="1" t="s">
        <v>18</v>
      </c>
      <c r="Q21" s="102" t="s">
        <v>19</v>
      </c>
      <c r="R21" s="102" t="s">
        <v>20</v>
      </c>
      <c r="S21" s="102" t="s">
        <v>21</v>
      </c>
      <c r="T21" s="1" t="s">
        <v>22</v>
      </c>
      <c r="U21" s="1" t="s">
        <v>23</v>
      </c>
      <c r="V21" s="1" t="s">
        <v>24</v>
      </c>
      <c r="W21" s="1" t="s">
        <v>25</v>
      </c>
      <c r="X21" s="1" t="s">
        <v>26</v>
      </c>
      <c r="Y21" s="1" t="s">
        <v>27</v>
      </c>
      <c r="Z21" s="1" t="s">
        <v>28</v>
      </c>
      <c r="AA21" s="1" t="s">
        <v>29</v>
      </c>
    </row>
    <row r="22" spans="1:27">
      <c r="A22" s="23">
        <v>46024</v>
      </c>
      <c r="B22" s="21" t="s">
        <v>30</v>
      </c>
      <c r="C22" s="20">
        <v>8105047843</v>
      </c>
      <c r="D22" s="21" t="s">
        <v>31</v>
      </c>
      <c r="E22" s="21" t="s">
        <v>32</v>
      </c>
      <c r="F22" s="21" t="s">
        <v>33</v>
      </c>
      <c r="G22" s="20" t="s">
        <v>33</v>
      </c>
      <c r="H22" s="20" t="s">
        <v>34</v>
      </c>
      <c r="I22" s="20" t="s">
        <v>35</v>
      </c>
      <c r="J22" s="20" t="s">
        <v>36</v>
      </c>
      <c r="K22" s="20"/>
      <c r="L22" s="102" t="s">
        <v>37</v>
      </c>
      <c r="M22" s="20" t="s">
        <v>34</v>
      </c>
      <c r="N22" s="20" t="s">
        <v>34</v>
      </c>
      <c r="O22" s="24" t="s">
        <v>33</v>
      </c>
      <c r="P22" s="24" t="s">
        <v>33</v>
      </c>
      <c r="Q22" s="20"/>
      <c r="R22" s="20" t="s">
        <v>38</v>
      </c>
      <c r="S22" s="20" t="s">
        <v>39</v>
      </c>
      <c r="T22" s="4" t="s">
        <v>40</v>
      </c>
      <c r="U22" s="20"/>
      <c r="V22" s="20"/>
      <c r="W22" s="20"/>
      <c r="X22" s="20"/>
      <c r="Y22" s="20"/>
      <c r="Z22" s="20"/>
      <c r="AA22" s="20"/>
    </row>
    <row r="23" spans="1:27">
      <c r="A23" s="23">
        <v>46024</v>
      </c>
      <c r="B23" s="21" t="s">
        <v>41</v>
      </c>
      <c r="C23" s="20">
        <v>9686162699</v>
      </c>
      <c r="D23" s="21" t="s">
        <v>42</v>
      </c>
      <c r="E23" s="21" t="s">
        <v>43</v>
      </c>
      <c r="F23" s="21" t="s">
        <v>33</v>
      </c>
      <c r="G23" s="20" t="s">
        <v>33</v>
      </c>
      <c r="H23" s="20" t="s">
        <v>36</v>
      </c>
      <c r="I23" s="20"/>
      <c r="J23" s="20" t="s">
        <v>36</v>
      </c>
      <c r="K23" s="20"/>
      <c r="L23" s="102" t="s">
        <v>33</v>
      </c>
      <c r="M23" s="20" t="s">
        <v>34</v>
      </c>
      <c r="N23" s="20" t="s">
        <v>34</v>
      </c>
      <c r="O23" s="24" t="s">
        <v>33</v>
      </c>
      <c r="P23" s="24" t="s">
        <v>33</v>
      </c>
      <c r="Q23" s="20"/>
      <c r="R23" s="20" t="s">
        <v>44</v>
      </c>
      <c r="S23" s="20" t="s">
        <v>45</v>
      </c>
      <c r="T23" s="7" t="s">
        <v>40</v>
      </c>
      <c r="U23" s="20"/>
      <c r="V23" s="20"/>
      <c r="W23" s="20"/>
      <c r="X23" s="20"/>
      <c r="Y23" s="20"/>
      <c r="Z23" s="20"/>
      <c r="AA23" s="20"/>
    </row>
    <row r="24" spans="1:27">
      <c r="A24" s="23">
        <v>46024</v>
      </c>
      <c r="B24" s="21" t="s">
        <v>46</v>
      </c>
      <c r="C24" s="20">
        <v>8870793251</v>
      </c>
      <c r="D24" s="21" t="s">
        <v>47</v>
      </c>
      <c r="E24" s="21" t="s">
        <v>48</v>
      </c>
      <c r="F24" s="21" t="s">
        <v>33</v>
      </c>
      <c r="G24" s="20" t="s">
        <v>33</v>
      </c>
      <c r="H24" s="20" t="s">
        <v>34</v>
      </c>
      <c r="I24" s="20" t="s">
        <v>49</v>
      </c>
      <c r="J24" s="20" t="s">
        <v>36</v>
      </c>
      <c r="K24" s="20"/>
      <c r="L24" s="102" t="s">
        <v>37</v>
      </c>
      <c r="M24" s="20" t="s">
        <v>34</v>
      </c>
      <c r="N24" s="20" t="s">
        <v>34</v>
      </c>
      <c r="O24" s="24" t="s">
        <v>33</v>
      </c>
      <c r="P24" s="24" t="s">
        <v>33</v>
      </c>
      <c r="Q24" s="22" t="s">
        <v>50</v>
      </c>
      <c r="R24" s="20" t="s">
        <v>51</v>
      </c>
      <c r="S24" s="20" t="s">
        <v>52</v>
      </c>
      <c r="T24" s="24" t="s">
        <v>40</v>
      </c>
      <c r="U24" s="20" t="s">
        <v>33</v>
      </c>
      <c r="V24" s="20"/>
      <c r="W24" s="20"/>
      <c r="X24" s="20"/>
      <c r="Y24" s="20"/>
      <c r="Z24" s="20"/>
      <c r="AA24" s="20"/>
    </row>
    <row r="25" spans="1:27">
      <c r="A25" s="23">
        <v>46024</v>
      </c>
      <c r="B25" s="21" t="s">
        <v>53</v>
      </c>
      <c r="C25" s="20">
        <v>9789673620</v>
      </c>
      <c r="D25" s="21" t="s">
        <v>54</v>
      </c>
      <c r="E25" s="21" t="s">
        <v>55</v>
      </c>
      <c r="F25" s="21" t="s">
        <v>33</v>
      </c>
      <c r="G25" s="20" t="s">
        <v>33</v>
      </c>
      <c r="H25" s="20" t="s">
        <v>34</v>
      </c>
      <c r="I25" s="20" t="s">
        <v>56</v>
      </c>
      <c r="J25" s="20" t="s">
        <v>36</v>
      </c>
      <c r="K25" s="20"/>
      <c r="L25" s="102" t="s">
        <v>33</v>
      </c>
      <c r="M25" s="20" t="s">
        <v>34</v>
      </c>
      <c r="N25" s="20" t="s">
        <v>34</v>
      </c>
      <c r="O25" s="24" t="s">
        <v>33</v>
      </c>
      <c r="P25" s="24" t="s">
        <v>33</v>
      </c>
      <c r="Q25" s="22" t="s">
        <v>57</v>
      </c>
      <c r="R25" s="20" t="s">
        <v>58</v>
      </c>
      <c r="S25" s="20" t="s">
        <v>59</v>
      </c>
      <c r="T25" s="20" t="s">
        <v>33</v>
      </c>
      <c r="U25" s="20" t="s">
        <v>33</v>
      </c>
      <c r="V25" s="20" t="s">
        <v>33</v>
      </c>
      <c r="W25" s="20" t="s">
        <v>33</v>
      </c>
      <c r="X25" s="20" t="s">
        <v>33</v>
      </c>
      <c r="Y25" s="20" t="s">
        <v>33</v>
      </c>
      <c r="Z25" s="20" t="s">
        <v>33</v>
      </c>
      <c r="AA25" s="20"/>
    </row>
    <row r="26" spans="1:27">
      <c r="A26" s="23">
        <v>46027</v>
      </c>
      <c r="B26" s="20" t="s">
        <v>60</v>
      </c>
      <c r="C26" s="20">
        <v>9790809502</v>
      </c>
      <c r="D26" s="20" t="s">
        <v>61</v>
      </c>
      <c r="E26" s="21" t="s">
        <v>26</v>
      </c>
      <c r="F26" s="21" t="s">
        <v>62</v>
      </c>
      <c r="G26" s="20" t="s">
        <v>33</v>
      </c>
      <c r="H26" s="20" t="s">
        <v>34</v>
      </c>
      <c r="I26" s="20" t="s">
        <v>63</v>
      </c>
      <c r="J26" s="20" t="s">
        <v>36</v>
      </c>
      <c r="K26" s="20"/>
      <c r="L26" s="102" t="s">
        <v>33</v>
      </c>
      <c r="M26" s="20" t="s">
        <v>34</v>
      </c>
      <c r="N26" s="20" t="s">
        <v>34</v>
      </c>
      <c r="O26" s="24" t="s">
        <v>33</v>
      </c>
      <c r="P26" s="24" t="s">
        <v>33</v>
      </c>
      <c r="Q26" s="20"/>
      <c r="R26" s="20"/>
      <c r="S26" s="20" t="s">
        <v>64</v>
      </c>
      <c r="T26" s="24" t="s">
        <v>40</v>
      </c>
      <c r="U26" s="20"/>
      <c r="V26" s="20"/>
      <c r="W26" s="20"/>
      <c r="X26" s="20"/>
      <c r="Y26" s="20"/>
      <c r="Z26" s="20"/>
      <c r="AA26" s="20"/>
    </row>
    <row r="27" spans="1:27" ht="13.9" customHeight="1">
      <c r="A27" s="23">
        <v>46027</v>
      </c>
      <c r="B27" s="20" t="s">
        <v>65</v>
      </c>
      <c r="C27" s="20">
        <v>9840587856</v>
      </c>
      <c r="D27" s="20" t="s">
        <v>66</v>
      </c>
      <c r="E27" s="21" t="s">
        <v>48</v>
      </c>
      <c r="F27" s="21" t="s">
        <v>62</v>
      </c>
      <c r="G27" s="61" t="s">
        <v>37</v>
      </c>
      <c r="H27" s="20" t="s">
        <v>34</v>
      </c>
      <c r="I27" s="22" t="s">
        <v>67</v>
      </c>
      <c r="J27" s="20" t="s">
        <v>36</v>
      </c>
      <c r="K27" s="20"/>
      <c r="L27" s="102" t="s">
        <v>33</v>
      </c>
      <c r="M27" s="20" t="s">
        <v>34</v>
      </c>
      <c r="N27" s="20" t="s">
        <v>34</v>
      </c>
      <c r="O27" s="24" t="s">
        <v>33</v>
      </c>
      <c r="P27" s="24" t="s">
        <v>33</v>
      </c>
      <c r="Q27" s="20"/>
      <c r="R27" s="20"/>
      <c r="S27" s="20"/>
      <c r="T27" s="20"/>
      <c r="U27" s="20"/>
      <c r="V27" s="20"/>
      <c r="W27" s="20"/>
      <c r="X27" s="20"/>
      <c r="Y27" s="20"/>
      <c r="Z27" s="20"/>
      <c r="AA27" s="20"/>
    </row>
    <row r="28" spans="1:27" ht="38.25" customHeight="1">
      <c r="A28" s="23">
        <v>46027</v>
      </c>
      <c r="B28" s="5" t="s">
        <v>68</v>
      </c>
      <c r="C28" s="20">
        <v>9884389739</v>
      </c>
      <c r="D28" s="20" t="s">
        <v>69</v>
      </c>
      <c r="E28" s="21" t="s">
        <v>48</v>
      </c>
      <c r="F28" s="21" t="s">
        <v>33</v>
      </c>
      <c r="G28" s="20" t="s">
        <v>33</v>
      </c>
      <c r="H28" s="20" t="s">
        <v>34</v>
      </c>
      <c r="I28" s="5" t="s">
        <v>70</v>
      </c>
      <c r="J28" s="20" t="s">
        <v>36</v>
      </c>
      <c r="K28" s="20"/>
      <c r="L28" s="102" t="s">
        <v>33</v>
      </c>
      <c r="M28" s="20" t="s">
        <v>34</v>
      </c>
      <c r="N28" s="20" t="s">
        <v>34</v>
      </c>
      <c r="O28" s="24" t="s">
        <v>33</v>
      </c>
      <c r="P28" s="24" t="s">
        <v>33</v>
      </c>
      <c r="Q28" s="22" t="s">
        <v>71</v>
      </c>
      <c r="R28" s="20"/>
      <c r="S28" s="20" t="s">
        <v>72</v>
      </c>
      <c r="T28" s="24" t="s">
        <v>40</v>
      </c>
      <c r="U28" s="20"/>
      <c r="V28" s="20"/>
      <c r="W28" s="20"/>
      <c r="X28" s="20"/>
      <c r="Y28" s="20"/>
      <c r="Z28" s="20"/>
      <c r="AA28" s="20"/>
    </row>
    <row r="29" spans="1:27">
      <c r="A29" s="23">
        <v>46027</v>
      </c>
      <c r="B29" s="20" t="s">
        <v>73</v>
      </c>
      <c r="C29" s="20">
        <v>7001989183</v>
      </c>
      <c r="D29" s="20" t="s">
        <v>74</v>
      </c>
      <c r="E29" s="21" t="s">
        <v>48</v>
      </c>
      <c r="F29" s="21" t="s">
        <v>33</v>
      </c>
      <c r="G29" s="61" t="s">
        <v>37</v>
      </c>
      <c r="H29" s="20" t="s">
        <v>36</v>
      </c>
      <c r="I29" s="20"/>
      <c r="J29" s="20" t="s">
        <v>36</v>
      </c>
      <c r="K29" s="20"/>
      <c r="L29" s="102" t="s">
        <v>33</v>
      </c>
      <c r="M29" s="20" t="s">
        <v>34</v>
      </c>
      <c r="N29" s="20" t="s">
        <v>34</v>
      </c>
      <c r="O29" s="24" t="s">
        <v>33</v>
      </c>
      <c r="P29" s="24" t="s">
        <v>33</v>
      </c>
      <c r="Q29" s="20"/>
      <c r="R29" s="20" t="s">
        <v>75</v>
      </c>
      <c r="S29" s="20" t="s">
        <v>76</v>
      </c>
      <c r="T29" s="7" t="s">
        <v>40</v>
      </c>
      <c r="U29" s="20"/>
      <c r="V29" s="20"/>
      <c r="W29" s="20"/>
      <c r="X29" s="20"/>
      <c r="Y29" s="20"/>
      <c r="Z29" s="20"/>
      <c r="AA29" s="20"/>
    </row>
    <row r="30" spans="1:27">
      <c r="A30" s="23">
        <v>46027</v>
      </c>
      <c r="B30" s="20" t="s">
        <v>77</v>
      </c>
      <c r="C30" s="20">
        <v>9735770574</v>
      </c>
      <c r="D30" s="20" t="s">
        <v>78</v>
      </c>
      <c r="E30" s="21" t="s">
        <v>48</v>
      </c>
      <c r="F30" s="21" t="s">
        <v>33</v>
      </c>
      <c r="G30" s="61" t="s">
        <v>37</v>
      </c>
      <c r="H30" s="20" t="s">
        <v>36</v>
      </c>
      <c r="I30" s="20"/>
      <c r="J30" s="20" t="s">
        <v>36</v>
      </c>
      <c r="K30" s="20"/>
      <c r="L30" s="102" t="s">
        <v>33</v>
      </c>
      <c r="M30" s="20" t="s">
        <v>34</v>
      </c>
      <c r="N30" s="20" t="s">
        <v>34</v>
      </c>
      <c r="O30" s="24" t="s">
        <v>33</v>
      </c>
      <c r="P30" s="24" t="s">
        <v>33</v>
      </c>
      <c r="Q30" s="20"/>
      <c r="R30" s="20" t="s">
        <v>79</v>
      </c>
      <c r="S30" s="20" t="s">
        <v>80</v>
      </c>
      <c r="T30" s="24" t="s">
        <v>40</v>
      </c>
      <c r="U30" s="20"/>
      <c r="V30" s="20"/>
      <c r="W30" s="20"/>
      <c r="X30" s="20"/>
      <c r="Y30" s="20"/>
      <c r="Z30" s="20"/>
      <c r="AA30" s="20"/>
    </row>
    <row r="31" spans="1:27">
      <c r="A31" s="23">
        <v>46028</v>
      </c>
      <c r="B31" s="20" t="s">
        <v>81</v>
      </c>
      <c r="C31" s="20">
        <v>9840922622</v>
      </c>
      <c r="D31" s="20" t="s">
        <v>82</v>
      </c>
      <c r="E31" s="21" t="s">
        <v>83</v>
      </c>
      <c r="F31" s="21" t="s">
        <v>62</v>
      </c>
      <c r="G31" s="61" t="s">
        <v>37</v>
      </c>
      <c r="H31" s="20" t="s">
        <v>36</v>
      </c>
      <c r="I31" s="20"/>
      <c r="J31" s="20" t="s">
        <v>36</v>
      </c>
      <c r="K31" s="20"/>
      <c r="L31" s="102" t="s">
        <v>33</v>
      </c>
      <c r="M31" s="20" t="s">
        <v>34</v>
      </c>
      <c r="N31" s="20" t="s">
        <v>34</v>
      </c>
      <c r="O31" s="24" t="s">
        <v>33</v>
      </c>
      <c r="P31" s="24" t="s">
        <v>33</v>
      </c>
      <c r="Q31" s="20"/>
      <c r="R31" s="20"/>
      <c r="S31" s="20"/>
      <c r="T31" s="20"/>
      <c r="U31" s="20"/>
      <c r="V31" s="20"/>
      <c r="W31" s="20"/>
      <c r="X31" s="20"/>
      <c r="Y31" s="20"/>
      <c r="Z31" s="20"/>
      <c r="AA31" s="20"/>
    </row>
    <row r="32" spans="1:27">
      <c r="A32" s="23">
        <v>46028</v>
      </c>
      <c r="B32" s="20" t="s">
        <v>84</v>
      </c>
      <c r="C32" s="20">
        <v>8608060051</v>
      </c>
      <c r="D32" s="20" t="s">
        <v>85</v>
      </c>
      <c r="E32" s="21" t="s">
        <v>86</v>
      </c>
      <c r="F32" s="21" t="s">
        <v>33</v>
      </c>
      <c r="G32" s="20" t="s">
        <v>33</v>
      </c>
      <c r="H32" s="20" t="s">
        <v>36</v>
      </c>
      <c r="I32" s="20"/>
      <c r="J32" s="20" t="s">
        <v>36</v>
      </c>
      <c r="K32" s="20"/>
      <c r="L32" s="102" t="s">
        <v>37</v>
      </c>
      <c r="M32" s="20" t="s">
        <v>34</v>
      </c>
      <c r="N32" s="20" t="s">
        <v>34</v>
      </c>
      <c r="O32" s="24" t="s">
        <v>33</v>
      </c>
      <c r="P32" s="24" t="s">
        <v>33</v>
      </c>
      <c r="Q32" s="20"/>
      <c r="R32" s="20" t="s">
        <v>87</v>
      </c>
      <c r="S32" s="20" t="s">
        <v>88</v>
      </c>
      <c r="T32" s="24" t="s">
        <v>40</v>
      </c>
      <c r="U32" s="20"/>
      <c r="V32" s="20" t="s">
        <v>33</v>
      </c>
      <c r="W32" s="20"/>
      <c r="X32" s="20"/>
      <c r="Y32" s="20"/>
      <c r="Z32" s="20"/>
      <c r="AA32" s="20"/>
    </row>
    <row r="33" spans="1:27" ht="51" customHeight="1">
      <c r="A33" s="23">
        <v>46028</v>
      </c>
      <c r="B33" s="20" t="s">
        <v>89</v>
      </c>
      <c r="C33" s="20">
        <v>6369571238</v>
      </c>
      <c r="D33" s="20" t="s">
        <v>90</v>
      </c>
      <c r="E33" s="21" t="s">
        <v>48</v>
      </c>
      <c r="F33" s="21" t="s">
        <v>33</v>
      </c>
      <c r="G33" s="20" t="s">
        <v>33</v>
      </c>
      <c r="H33" s="20" t="s">
        <v>34</v>
      </c>
      <c r="I33" s="5" t="s">
        <v>91</v>
      </c>
      <c r="J33" s="20" t="s">
        <v>36</v>
      </c>
      <c r="K33" s="20"/>
      <c r="L33" s="102" t="s">
        <v>37</v>
      </c>
      <c r="M33" s="20" t="s">
        <v>34</v>
      </c>
      <c r="N33" s="20" t="s">
        <v>34</v>
      </c>
      <c r="O33" s="24" t="s">
        <v>33</v>
      </c>
      <c r="P33" s="24" t="s">
        <v>33</v>
      </c>
      <c r="Q33" s="22" t="s">
        <v>92</v>
      </c>
      <c r="R33" s="20" t="s">
        <v>93</v>
      </c>
      <c r="S33" s="20" t="s">
        <v>94</v>
      </c>
      <c r="T33" s="7" t="s">
        <v>40</v>
      </c>
      <c r="U33" s="20" t="s">
        <v>33</v>
      </c>
      <c r="V33" s="20"/>
      <c r="W33" s="20"/>
      <c r="X33" s="20"/>
      <c r="Y33" s="20"/>
      <c r="Z33" s="20"/>
      <c r="AA33" s="20"/>
    </row>
    <row r="34" spans="1:27">
      <c r="A34" s="23">
        <v>46028</v>
      </c>
      <c r="B34" s="20" t="s">
        <v>95</v>
      </c>
      <c r="C34" s="20">
        <v>9940324366</v>
      </c>
      <c r="D34" s="20" t="s">
        <v>96</v>
      </c>
      <c r="E34" s="21" t="s">
        <v>86</v>
      </c>
      <c r="F34" s="21" t="s">
        <v>97</v>
      </c>
      <c r="G34" s="20" t="s">
        <v>33</v>
      </c>
      <c r="H34" s="20" t="s">
        <v>36</v>
      </c>
      <c r="I34" s="20"/>
      <c r="J34" s="20" t="s">
        <v>36</v>
      </c>
      <c r="K34" s="20"/>
      <c r="L34" s="102" t="s">
        <v>33</v>
      </c>
      <c r="M34" s="20" t="s">
        <v>34</v>
      </c>
      <c r="N34" s="20" t="s">
        <v>34</v>
      </c>
      <c r="O34" s="24" t="s">
        <v>33</v>
      </c>
      <c r="P34" s="24" t="s">
        <v>33</v>
      </c>
      <c r="Q34" s="20"/>
      <c r="R34" s="20"/>
      <c r="S34" s="20"/>
      <c r="T34" s="20"/>
      <c r="U34" s="20"/>
      <c r="V34" s="20"/>
      <c r="W34" s="20"/>
      <c r="X34" s="20"/>
      <c r="Y34" s="20"/>
      <c r="Z34" s="20"/>
      <c r="AA34" s="20"/>
    </row>
    <row r="35" spans="1:27">
      <c r="A35" s="23">
        <v>46028</v>
      </c>
      <c r="B35" s="20" t="s">
        <v>98</v>
      </c>
      <c r="C35" s="20">
        <v>6303626884</v>
      </c>
      <c r="D35" s="20" t="s">
        <v>99</v>
      </c>
      <c r="E35" s="21" t="s">
        <v>86</v>
      </c>
      <c r="F35" s="21" t="s">
        <v>33</v>
      </c>
      <c r="G35" s="20" t="s">
        <v>33</v>
      </c>
      <c r="H35" s="20" t="s">
        <v>34</v>
      </c>
      <c r="I35" s="20" t="s">
        <v>67</v>
      </c>
      <c r="J35" s="20" t="s">
        <v>36</v>
      </c>
      <c r="K35" s="20"/>
      <c r="L35" s="102" t="s">
        <v>33</v>
      </c>
      <c r="M35" s="20" t="s">
        <v>36</v>
      </c>
      <c r="N35" s="20" t="s">
        <v>34</v>
      </c>
      <c r="O35" s="25" t="s">
        <v>36</v>
      </c>
      <c r="P35" s="24" t="s">
        <v>33</v>
      </c>
      <c r="Q35" s="22" t="s">
        <v>100</v>
      </c>
      <c r="R35" s="20" t="s">
        <v>101</v>
      </c>
      <c r="S35" s="20" t="s">
        <v>102</v>
      </c>
      <c r="T35" s="24" t="s">
        <v>40</v>
      </c>
      <c r="U35" s="20"/>
      <c r="V35" s="20"/>
      <c r="W35" s="20"/>
      <c r="X35" s="20"/>
      <c r="Y35" s="20"/>
      <c r="Z35" s="20"/>
      <c r="AA35" s="20"/>
    </row>
    <row r="36" spans="1:27">
      <c r="A36" s="23">
        <v>46029</v>
      </c>
      <c r="B36" s="20" t="s">
        <v>103</v>
      </c>
      <c r="C36" s="20">
        <v>6305471545</v>
      </c>
      <c r="D36" s="20" t="s">
        <v>104</v>
      </c>
      <c r="E36" s="21" t="s">
        <v>48</v>
      </c>
      <c r="F36" s="21" t="s">
        <v>62</v>
      </c>
      <c r="G36" s="61" t="s">
        <v>37</v>
      </c>
      <c r="H36" s="20" t="s">
        <v>36</v>
      </c>
      <c r="I36" s="20"/>
      <c r="J36" s="20" t="s">
        <v>36</v>
      </c>
      <c r="K36" s="20"/>
      <c r="L36" s="102" t="s">
        <v>33</v>
      </c>
      <c r="M36" s="20" t="s">
        <v>34</v>
      </c>
      <c r="N36" s="20" t="s">
        <v>34</v>
      </c>
      <c r="O36" s="24" t="s">
        <v>33</v>
      </c>
      <c r="P36" s="24" t="s">
        <v>33</v>
      </c>
      <c r="Q36" s="20"/>
      <c r="R36" s="20"/>
      <c r="S36" s="20"/>
      <c r="T36" s="20"/>
      <c r="U36" s="20"/>
      <c r="V36" s="20"/>
      <c r="W36" s="20"/>
      <c r="X36" s="20"/>
      <c r="Y36" s="20"/>
      <c r="Z36" s="20"/>
      <c r="AA36" s="20"/>
    </row>
    <row r="37" spans="1:27" ht="25.5" customHeight="1">
      <c r="A37" s="23">
        <v>46029</v>
      </c>
      <c r="B37" s="5" t="s">
        <v>105</v>
      </c>
      <c r="C37" s="20">
        <v>9966991463</v>
      </c>
      <c r="D37" s="20" t="s">
        <v>106</v>
      </c>
      <c r="E37" s="21" t="s">
        <v>48</v>
      </c>
      <c r="F37" s="21" t="s">
        <v>33</v>
      </c>
      <c r="G37" s="61" t="s">
        <v>37</v>
      </c>
      <c r="H37" s="20" t="s">
        <v>36</v>
      </c>
      <c r="I37" s="20"/>
      <c r="J37" s="20" t="s">
        <v>36</v>
      </c>
      <c r="K37" s="20"/>
      <c r="L37" s="102" t="s">
        <v>33</v>
      </c>
      <c r="M37" s="20" t="s">
        <v>34</v>
      </c>
      <c r="N37" s="20" t="s">
        <v>34</v>
      </c>
      <c r="O37" s="24" t="s">
        <v>33</v>
      </c>
      <c r="P37" s="24" t="s">
        <v>33</v>
      </c>
      <c r="Q37" s="20"/>
      <c r="R37" s="20"/>
      <c r="S37" s="20"/>
      <c r="T37" s="20"/>
      <c r="U37" s="20"/>
      <c r="V37" s="20"/>
      <c r="W37" s="20"/>
      <c r="X37" s="20"/>
      <c r="Y37" s="20"/>
      <c r="Z37" s="20"/>
      <c r="AA37" s="20"/>
    </row>
    <row r="38" spans="1:27">
      <c r="A38" s="23">
        <v>46029</v>
      </c>
      <c r="B38" s="20" t="s">
        <v>107</v>
      </c>
      <c r="C38" s="20">
        <v>9840610164</v>
      </c>
      <c r="D38" s="20" t="s">
        <v>108</v>
      </c>
      <c r="E38" s="21" t="s">
        <v>48</v>
      </c>
      <c r="F38" s="21" t="s">
        <v>33</v>
      </c>
      <c r="G38" s="61" t="s">
        <v>37</v>
      </c>
      <c r="H38" s="20" t="s">
        <v>34</v>
      </c>
      <c r="I38" s="20" t="s">
        <v>109</v>
      </c>
      <c r="J38" s="20" t="s">
        <v>36</v>
      </c>
      <c r="K38" s="20"/>
      <c r="L38" s="102" t="s">
        <v>33</v>
      </c>
      <c r="M38" s="20" t="s">
        <v>34</v>
      </c>
      <c r="N38" s="20" t="s">
        <v>34</v>
      </c>
      <c r="O38" s="24" t="s">
        <v>33</v>
      </c>
      <c r="P38" s="24" t="s">
        <v>33</v>
      </c>
      <c r="Q38" s="22" t="s">
        <v>110</v>
      </c>
      <c r="R38" s="20"/>
      <c r="S38" s="20"/>
      <c r="T38" s="20"/>
      <c r="U38" s="20"/>
      <c r="V38" s="20"/>
      <c r="W38" s="20"/>
      <c r="X38" s="20"/>
      <c r="Y38" s="20"/>
      <c r="Z38" s="20"/>
      <c r="AA38" s="20"/>
    </row>
    <row r="39" spans="1:27">
      <c r="A39" s="23">
        <v>46030</v>
      </c>
      <c r="B39" s="20" t="s">
        <v>111</v>
      </c>
      <c r="C39" s="20">
        <v>8939374750</v>
      </c>
      <c r="D39" s="20" t="s">
        <v>112</v>
      </c>
      <c r="E39" s="21" t="s">
        <v>48</v>
      </c>
      <c r="F39" s="21" t="s">
        <v>33</v>
      </c>
      <c r="G39" s="20" t="s">
        <v>33</v>
      </c>
      <c r="H39" s="20" t="s">
        <v>36</v>
      </c>
      <c r="I39" s="20"/>
      <c r="J39" s="20" t="s">
        <v>36</v>
      </c>
      <c r="K39" s="20"/>
      <c r="L39" s="102" t="s">
        <v>33</v>
      </c>
      <c r="M39" s="20" t="s">
        <v>34</v>
      </c>
      <c r="N39" s="20" t="s">
        <v>34</v>
      </c>
      <c r="O39" s="24" t="s">
        <v>33</v>
      </c>
      <c r="P39" s="24" t="s">
        <v>33</v>
      </c>
      <c r="Q39" s="20"/>
      <c r="R39" s="20" t="s">
        <v>113</v>
      </c>
      <c r="S39" s="20" t="s">
        <v>114</v>
      </c>
      <c r="T39" s="7" t="s">
        <v>40</v>
      </c>
      <c r="U39" s="20"/>
      <c r="V39" s="20"/>
      <c r="W39" s="20"/>
      <c r="X39" s="20"/>
      <c r="Y39" s="20"/>
      <c r="Z39" s="20"/>
      <c r="AA39" s="20"/>
    </row>
    <row r="40" spans="1:27">
      <c r="A40" s="23">
        <v>46030</v>
      </c>
      <c r="B40" s="20" t="s">
        <v>115</v>
      </c>
      <c r="C40" s="20">
        <v>9791806008</v>
      </c>
      <c r="D40" s="26" t="s">
        <v>116</v>
      </c>
      <c r="E40" s="21" t="s">
        <v>48</v>
      </c>
      <c r="F40" s="21" t="s">
        <v>33</v>
      </c>
      <c r="G40" s="61" t="s">
        <v>37</v>
      </c>
      <c r="H40" s="20" t="s">
        <v>34</v>
      </c>
      <c r="I40" s="20" t="s">
        <v>67</v>
      </c>
      <c r="J40" s="20" t="s">
        <v>36</v>
      </c>
      <c r="K40" s="20"/>
      <c r="L40" s="102" t="s">
        <v>33</v>
      </c>
      <c r="M40" s="20" t="s">
        <v>34</v>
      </c>
      <c r="N40" s="20" t="s">
        <v>34</v>
      </c>
      <c r="O40" s="24" t="s">
        <v>33</v>
      </c>
      <c r="P40" s="24" t="s">
        <v>33</v>
      </c>
      <c r="Q40" s="22" t="s">
        <v>117</v>
      </c>
      <c r="R40" s="20" t="s">
        <v>118</v>
      </c>
      <c r="S40" s="20" t="s">
        <v>119</v>
      </c>
      <c r="T40" s="4" t="s">
        <v>40</v>
      </c>
      <c r="U40" s="20"/>
      <c r="V40" s="20"/>
      <c r="W40" s="20"/>
      <c r="X40" s="20"/>
      <c r="Y40" s="20"/>
      <c r="Z40" s="20"/>
      <c r="AA40" s="20"/>
    </row>
    <row r="41" spans="1:27" ht="25.5" customHeight="1">
      <c r="A41" s="23">
        <v>46030</v>
      </c>
      <c r="B41" s="5" t="s">
        <v>120</v>
      </c>
      <c r="C41" s="20">
        <v>9440325045</v>
      </c>
      <c r="D41" s="20" t="s">
        <v>121</v>
      </c>
      <c r="E41" s="21" t="s">
        <v>26</v>
      </c>
      <c r="F41" s="21" t="s">
        <v>62</v>
      </c>
      <c r="G41" s="61" t="s">
        <v>37</v>
      </c>
      <c r="H41" s="20" t="s">
        <v>36</v>
      </c>
      <c r="I41" s="20"/>
      <c r="J41" s="20" t="s">
        <v>36</v>
      </c>
      <c r="K41" s="20"/>
      <c r="L41" s="102" t="s">
        <v>33</v>
      </c>
      <c r="M41" s="20" t="s">
        <v>34</v>
      </c>
      <c r="N41" s="20" t="s">
        <v>34</v>
      </c>
      <c r="O41" s="24" t="s">
        <v>33</v>
      </c>
      <c r="P41" s="24" t="s">
        <v>33</v>
      </c>
      <c r="Q41" s="20"/>
      <c r="R41" s="27" t="s">
        <v>122</v>
      </c>
      <c r="S41" s="26" t="s">
        <v>123</v>
      </c>
      <c r="T41" s="24" t="s">
        <v>40</v>
      </c>
      <c r="U41" s="20"/>
      <c r="V41" s="20" t="s">
        <v>33</v>
      </c>
      <c r="W41" s="20"/>
      <c r="X41" s="20"/>
      <c r="Y41" s="20" t="s">
        <v>33</v>
      </c>
      <c r="Z41" s="20"/>
      <c r="AA41" s="20"/>
    </row>
    <row r="42" spans="1:27">
      <c r="A42" s="23">
        <v>46030</v>
      </c>
      <c r="B42" s="20" t="s">
        <v>124</v>
      </c>
      <c r="C42" s="20">
        <v>9677381857</v>
      </c>
      <c r="D42" s="20" t="s">
        <v>125</v>
      </c>
      <c r="E42" s="21" t="s">
        <v>25</v>
      </c>
      <c r="F42" s="21" t="s">
        <v>62</v>
      </c>
      <c r="G42" s="61" t="s">
        <v>37</v>
      </c>
      <c r="H42" s="20" t="s">
        <v>34</v>
      </c>
      <c r="I42" s="20" t="s">
        <v>126</v>
      </c>
      <c r="J42" s="20" t="s">
        <v>36</v>
      </c>
      <c r="K42" s="20"/>
      <c r="L42" s="102" t="s">
        <v>33</v>
      </c>
      <c r="M42" s="20" t="s">
        <v>34</v>
      </c>
      <c r="N42" s="20" t="s">
        <v>34</v>
      </c>
      <c r="O42" s="24" t="s">
        <v>33</v>
      </c>
      <c r="P42" s="24" t="s">
        <v>33</v>
      </c>
      <c r="Q42" s="22" t="s">
        <v>127</v>
      </c>
      <c r="R42" s="20"/>
      <c r="S42" s="20"/>
      <c r="T42" s="20"/>
      <c r="U42" s="20"/>
      <c r="V42" s="20"/>
      <c r="W42" s="20"/>
      <c r="X42" s="20"/>
      <c r="Y42" s="20"/>
      <c r="Z42" s="20"/>
      <c r="AA42" s="20"/>
    </row>
    <row r="43" spans="1:27">
      <c r="A43" s="23">
        <v>46030</v>
      </c>
      <c r="B43" s="21" t="s">
        <v>128</v>
      </c>
      <c r="C43" s="20">
        <v>8754469269</v>
      </c>
      <c r="D43" s="20" t="s">
        <v>129</v>
      </c>
      <c r="E43" s="21" t="s">
        <v>48</v>
      </c>
      <c r="F43" s="21" t="s">
        <v>33</v>
      </c>
      <c r="G43" s="61" t="s">
        <v>37</v>
      </c>
      <c r="H43" s="20" t="s">
        <v>36</v>
      </c>
      <c r="I43" s="20"/>
      <c r="J43" s="20" t="s">
        <v>36</v>
      </c>
      <c r="K43" s="20"/>
      <c r="L43" s="102" t="s">
        <v>33</v>
      </c>
      <c r="M43" s="20" t="s">
        <v>34</v>
      </c>
      <c r="N43" s="20" t="s">
        <v>34</v>
      </c>
      <c r="O43" s="24" t="s">
        <v>33</v>
      </c>
      <c r="P43" s="24" t="s">
        <v>33</v>
      </c>
      <c r="Q43" s="20"/>
      <c r="R43" s="20"/>
      <c r="S43" s="20"/>
      <c r="T43" s="20"/>
      <c r="U43" s="20"/>
      <c r="V43" s="20"/>
      <c r="W43" s="20"/>
      <c r="X43" s="20"/>
      <c r="Y43" s="20"/>
      <c r="Z43" s="20"/>
      <c r="AA43" s="20"/>
    </row>
    <row r="44" spans="1:27">
      <c r="A44" s="23">
        <v>46031</v>
      </c>
      <c r="B44" s="21" t="s">
        <v>98</v>
      </c>
      <c r="C44" s="20">
        <v>6303626884</v>
      </c>
      <c r="D44" s="20" t="s">
        <v>99</v>
      </c>
      <c r="E44" s="21" t="s">
        <v>130</v>
      </c>
      <c r="F44" s="21" t="s">
        <v>62</v>
      </c>
      <c r="G44" s="20" t="s">
        <v>33</v>
      </c>
      <c r="H44" s="20" t="s">
        <v>36</v>
      </c>
      <c r="I44" s="20"/>
      <c r="J44" s="20" t="s">
        <v>36</v>
      </c>
      <c r="K44" s="20"/>
      <c r="L44" s="102" t="s">
        <v>37</v>
      </c>
      <c r="M44" s="20" t="s">
        <v>36</v>
      </c>
      <c r="N44" s="20" t="s">
        <v>34</v>
      </c>
      <c r="O44" s="20" t="s">
        <v>36</v>
      </c>
      <c r="P44" s="24" t="s">
        <v>33</v>
      </c>
      <c r="Q44" s="20"/>
      <c r="R44" s="20" t="s">
        <v>101</v>
      </c>
      <c r="S44" s="20" t="s">
        <v>102</v>
      </c>
      <c r="T44" s="20" t="s">
        <v>33</v>
      </c>
      <c r="U44" s="20"/>
      <c r="V44" s="20"/>
      <c r="W44" s="20"/>
      <c r="X44" s="20"/>
      <c r="Y44" s="20"/>
      <c r="Z44" s="20"/>
      <c r="AA44" s="20"/>
    </row>
    <row r="45" spans="1:27">
      <c r="A45" s="23">
        <v>46031</v>
      </c>
      <c r="B45" s="21" t="s">
        <v>131</v>
      </c>
      <c r="C45" s="20">
        <v>8892484486</v>
      </c>
      <c r="D45" s="20" t="s">
        <v>132</v>
      </c>
      <c r="E45" s="21" t="s">
        <v>48</v>
      </c>
      <c r="F45" s="21" t="s">
        <v>33</v>
      </c>
      <c r="G45" s="20" t="s">
        <v>33</v>
      </c>
      <c r="H45" s="20" t="s">
        <v>34</v>
      </c>
      <c r="I45" s="20" t="s">
        <v>133</v>
      </c>
      <c r="J45" s="20" t="s">
        <v>36</v>
      </c>
      <c r="K45" s="20"/>
      <c r="L45" s="102" t="s">
        <v>33</v>
      </c>
      <c r="M45" s="20" t="s">
        <v>34</v>
      </c>
      <c r="N45" s="20" t="s">
        <v>34</v>
      </c>
      <c r="O45" s="24" t="s">
        <v>33</v>
      </c>
      <c r="P45" s="24" t="s">
        <v>33</v>
      </c>
      <c r="Q45" s="20"/>
      <c r="R45" s="20"/>
      <c r="S45" s="20"/>
      <c r="T45" s="20"/>
      <c r="U45" s="20"/>
      <c r="V45" s="20"/>
      <c r="W45" s="20"/>
      <c r="X45" s="20"/>
      <c r="Y45" s="20"/>
      <c r="Z45" s="20"/>
      <c r="AA45" s="20"/>
    </row>
    <row r="46" spans="1:27" s="31" customFormat="1">
      <c r="A46" s="28">
        <v>46031</v>
      </c>
      <c r="B46" s="25" t="s">
        <v>134</v>
      </c>
      <c r="C46" s="25">
        <v>9840524008</v>
      </c>
      <c r="D46" s="25" t="s">
        <v>135</v>
      </c>
      <c r="E46" s="29" t="s">
        <v>48</v>
      </c>
      <c r="F46" s="29" t="s">
        <v>33</v>
      </c>
      <c r="G46" s="25" t="s">
        <v>33</v>
      </c>
      <c r="H46" s="25" t="s">
        <v>36</v>
      </c>
      <c r="I46" s="25"/>
      <c r="J46" s="25" t="s">
        <v>36</v>
      </c>
      <c r="K46" s="25"/>
      <c r="L46" s="30" t="s">
        <v>37</v>
      </c>
      <c r="M46" s="25" t="s">
        <v>34</v>
      </c>
      <c r="N46" s="25" t="s">
        <v>34</v>
      </c>
      <c r="O46" s="24" t="s">
        <v>33</v>
      </c>
      <c r="P46" s="24" t="s">
        <v>33</v>
      </c>
      <c r="Q46" s="25"/>
      <c r="R46" s="25"/>
      <c r="S46" s="25"/>
      <c r="T46" s="25"/>
      <c r="U46" s="25"/>
      <c r="V46" s="25"/>
      <c r="W46" s="25"/>
      <c r="X46" s="25"/>
      <c r="Y46" s="25"/>
      <c r="Z46" s="25"/>
      <c r="AA46" s="25"/>
    </row>
    <row r="47" spans="1:27">
      <c r="A47" s="23">
        <v>46034</v>
      </c>
      <c r="B47" s="20" t="s">
        <v>136</v>
      </c>
      <c r="C47" s="20">
        <v>9066429615</v>
      </c>
      <c r="D47" s="20" t="s">
        <v>137</v>
      </c>
      <c r="E47" s="21" t="s">
        <v>25</v>
      </c>
      <c r="F47" s="21" t="s">
        <v>62</v>
      </c>
      <c r="G47" s="61" t="s">
        <v>37</v>
      </c>
      <c r="H47" s="20" t="s">
        <v>34</v>
      </c>
      <c r="I47" s="20" t="s">
        <v>138</v>
      </c>
      <c r="J47" s="20" t="s">
        <v>36</v>
      </c>
      <c r="K47" s="20"/>
      <c r="L47" s="102" t="s">
        <v>33</v>
      </c>
      <c r="M47" s="25" t="s">
        <v>34</v>
      </c>
      <c r="N47" s="25" t="s">
        <v>34</v>
      </c>
      <c r="O47" s="24" t="s">
        <v>33</v>
      </c>
      <c r="P47" s="24" t="s">
        <v>33</v>
      </c>
      <c r="Q47" s="22" t="s">
        <v>92</v>
      </c>
      <c r="R47" s="20" t="s">
        <v>139</v>
      </c>
      <c r="S47" s="20" t="s">
        <v>140</v>
      </c>
      <c r="T47" s="24" t="s">
        <v>40</v>
      </c>
      <c r="U47" s="20" t="s">
        <v>33</v>
      </c>
      <c r="V47" s="20" t="s">
        <v>33</v>
      </c>
      <c r="W47" s="20" t="s">
        <v>33</v>
      </c>
      <c r="X47" s="20"/>
      <c r="Y47" s="20"/>
      <c r="Z47" s="20"/>
      <c r="AA47" s="20"/>
    </row>
    <row r="48" spans="1:27">
      <c r="A48" s="23">
        <v>46034</v>
      </c>
      <c r="B48" s="20" t="s">
        <v>141</v>
      </c>
      <c r="C48" s="20">
        <v>9345774119</v>
      </c>
      <c r="D48" s="20" t="s">
        <v>142</v>
      </c>
      <c r="E48" s="21" t="s">
        <v>48</v>
      </c>
      <c r="F48" s="21" t="s">
        <v>33</v>
      </c>
      <c r="G48" s="61" t="s">
        <v>37</v>
      </c>
      <c r="H48" s="20" t="s">
        <v>36</v>
      </c>
      <c r="I48" s="20"/>
      <c r="J48" s="20" t="s">
        <v>36</v>
      </c>
      <c r="K48" s="20"/>
      <c r="L48" s="102" t="s">
        <v>37</v>
      </c>
      <c r="M48" s="25" t="s">
        <v>34</v>
      </c>
      <c r="N48" s="25" t="s">
        <v>34</v>
      </c>
      <c r="O48" s="24" t="s">
        <v>33</v>
      </c>
      <c r="P48" s="24" t="s">
        <v>33</v>
      </c>
      <c r="Q48" s="25"/>
      <c r="R48" s="20"/>
      <c r="S48" s="20"/>
      <c r="T48" s="20"/>
      <c r="U48" s="20"/>
      <c r="V48" s="20"/>
      <c r="W48" s="20"/>
      <c r="X48" s="20"/>
      <c r="Y48" s="20"/>
      <c r="Z48" s="20"/>
      <c r="AA48" s="20"/>
    </row>
    <row r="49" spans="1:27">
      <c r="A49" s="23">
        <v>46034</v>
      </c>
      <c r="B49" s="20" t="s">
        <v>143</v>
      </c>
      <c r="C49" s="20">
        <v>8838695518</v>
      </c>
      <c r="D49" s="20" t="s">
        <v>144</v>
      </c>
      <c r="E49" s="21" t="s">
        <v>48</v>
      </c>
      <c r="F49" s="21" t="s">
        <v>62</v>
      </c>
      <c r="G49" s="20" t="s">
        <v>33</v>
      </c>
      <c r="H49" s="20" t="s">
        <v>36</v>
      </c>
      <c r="I49" s="20"/>
      <c r="J49" s="20" t="s">
        <v>36</v>
      </c>
      <c r="K49" s="20"/>
      <c r="L49" s="102" t="s">
        <v>33</v>
      </c>
      <c r="M49" s="25" t="s">
        <v>34</v>
      </c>
      <c r="N49" s="25" t="s">
        <v>34</v>
      </c>
      <c r="O49" s="24" t="s">
        <v>33</v>
      </c>
      <c r="P49" s="24" t="s">
        <v>33</v>
      </c>
      <c r="Q49" s="25"/>
      <c r="R49" s="20"/>
      <c r="S49" s="20"/>
      <c r="T49" s="20"/>
      <c r="U49" s="20"/>
      <c r="V49" s="20"/>
      <c r="W49" s="20"/>
      <c r="X49" s="20"/>
      <c r="Y49" s="20"/>
      <c r="Z49" s="20"/>
      <c r="AA49" s="20"/>
    </row>
    <row r="50" spans="1:27">
      <c r="A50" s="23">
        <v>46034</v>
      </c>
      <c r="B50" s="20" t="s">
        <v>145</v>
      </c>
      <c r="C50" s="20">
        <v>7092650853</v>
      </c>
      <c r="D50" s="20" t="s">
        <v>146</v>
      </c>
      <c r="E50" s="21" t="s">
        <v>48</v>
      </c>
      <c r="F50" s="21" t="s">
        <v>33</v>
      </c>
      <c r="G50" s="20" t="s">
        <v>33</v>
      </c>
      <c r="H50" s="20" t="s">
        <v>34</v>
      </c>
      <c r="I50" s="20" t="s">
        <v>147</v>
      </c>
      <c r="J50" s="20" t="s">
        <v>36</v>
      </c>
      <c r="K50" s="20"/>
      <c r="L50" s="102" t="s">
        <v>33</v>
      </c>
      <c r="M50" s="25" t="s">
        <v>34</v>
      </c>
      <c r="N50" s="25" t="s">
        <v>34</v>
      </c>
      <c r="O50" s="24" t="s">
        <v>33</v>
      </c>
      <c r="P50" s="24" t="s">
        <v>33</v>
      </c>
      <c r="Q50" s="22" t="s">
        <v>148</v>
      </c>
      <c r="R50" s="20" t="s">
        <v>149</v>
      </c>
      <c r="S50" s="20" t="s">
        <v>150</v>
      </c>
      <c r="T50" s="7" t="s">
        <v>40</v>
      </c>
      <c r="U50" s="20"/>
      <c r="V50" s="20"/>
      <c r="W50" s="20"/>
      <c r="X50" s="20"/>
      <c r="Y50" s="20"/>
      <c r="Z50" s="20"/>
      <c r="AA50" s="20"/>
    </row>
    <row r="51" spans="1:27">
      <c r="A51" s="23">
        <v>46042</v>
      </c>
      <c r="B51" s="20" t="s">
        <v>151</v>
      </c>
      <c r="C51" s="20">
        <v>7826039175</v>
      </c>
      <c r="D51" s="20" t="s">
        <v>152</v>
      </c>
      <c r="E51" s="21" t="s">
        <v>48</v>
      </c>
      <c r="F51" s="21" t="s">
        <v>33</v>
      </c>
      <c r="G51" s="20" t="s">
        <v>33</v>
      </c>
      <c r="H51" s="20" t="s">
        <v>34</v>
      </c>
      <c r="I51" s="20" t="s">
        <v>67</v>
      </c>
      <c r="J51" s="20" t="s">
        <v>36</v>
      </c>
      <c r="K51" s="20"/>
      <c r="L51" s="102" t="s">
        <v>37</v>
      </c>
      <c r="M51" s="25" t="s">
        <v>34</v>
      </c>
      <c r="N51" s="25" t="s">
        <v>34</v>
      </c>
      <c r="O51" s="24" t="s">
        <v>33</v>
      </c>
      <c r="P51" s="24" t="s">
        <v>33</v>
      </c>
      <c r="Q51" s="22" t="s">
        <v>153</v>
      </c>
      <c r="R51" s="20" t="s">
        <v>154</v>
      </c>
      <c r="S51" s="20" t="s">
        <v>155</v>
      </c>
      <c r="T51" s="24" t="s">
        <v>40</v>
      </c>
      <c r="U51" s="20"/>
      <c r="V51" s="20"/>
      <c r="W51" s="20"/>
      <c r="X51" s="20"/>
      <c r="Y51" s="20"/>
      <c r="Z51" s="20"/>
      <c r="AA51" s="20"/>
    </row>
    <row r="52" spans="1:27">
      <c r="A52" s="23">
        <v>46042</v>
      </c>
      <c r="B52" s="20" t="s">
        <v>156</v>
      </c>
      <c r="C52" s="20">
        <v>9962262429</v>
      </c>
      <c r="D52" s="20" t="s">
        <v>157</v>
      </c>
      <c r="E52" s="21" t="s">
        <v>48</v>
      </c>
      <c r="F52" s="21" t="s">
        <v>33</v>
      </c>
      <c r="G52" s="20" t="s">
        <v>33</v>
      </c>
      <c r="H52" s="20" t="s">
        <v>36</v>
      </c>
      <c r="I52" s="20"/>
      <c r="J52" s="20" t="s">
        <v>36</v>
      </c>
      <c r="K52" s="20"/>
      <c r="L52" s="102" t="s">
        <v>33</v>
      </c>
      <c r="M52" s="25" t="s">
        <v>34</v>
      </c>
      <c r="N52" s="25" t="s">
        <v>34</v>
      </c>
      <c r="O52" s="24" t="s">
        <v>33</v>
      </c>
      <c r="P52" s="24" t="s">
        <v>33</v>
      </c>
      <c r="Q52" s="25"/>
      <c r="R52" s="20" t="s">
        <v>158</v>
      </c>
      <c r="S52" s="20" t="s">
        <v>159</v>
      </c>
      <c r="T52" s="24" t="s">
        <v>40</v>
      </c>
      <c r="U52" s="20"/>
      <c r="V52" s="20"/>
      <c r="W52" s="20"/>
      <c r="X52" s="20"/>
      <c r="Y52" s="20"/>
      <c r="Z52" s="20"/>
      <c r="AA52" s="20"/>
    </row>
    <row r="53" spans="1:27">
      <c r="A53" s="23">
        <v>46043</v>
      </c>
      <c r="B53" s="21" t="s">
        <v>160</v>
      </c>
      <c r="C53" s="21">
        <v>9840668196</v>
      </c>
      <c r="D53" s="21" t="s">
        <v>161</v>
      </c>
      <c r="E53" s="21" t="s">
        <v>48</v>
      </c>
      <c r="F53" s="21" t="s">
        <v>33</v>
      </c>
      <c r="G53" s="20" t="s">
        <v>33</v>
      </c>
      <c r="H53" s="20" t="s">
        <v>34</v>
      </c>
      <c r="I53" s="20" t="s">
        <v>162</v>
      </c>
      <c r="J53" s="20" t="s">
        <v>36</v>
      </c>
      <c r="K53" s="20"/>
      <c r="L53" s="32" t="s">
        <v>33</v>
      </c>
      <c r="M53" s="25" t="s">
        <v>34</v>
      </c>
      <c r="N53" s="25" t="s">
        <v>34</v>
      </c>
      <c r="O53" s="24" t="s">
        <v>33</v>
      </c>
      <c r="P53" s="24" t="s">
        <v>33</v>
      </c>
      <c r="Q53" s="22" t="s">
        <v>163</v>
      </c>
      <c r="R53" s="20"/>
      <c r="S53" s="26" t="s">
        <v>164</v>
      </c>
      <c r="T53" s="26" t="s">
        <v>33</v>
      </c>
      <c r="U53" s="20"/>
      <c r="V53" s="20"/>
      <c r="W53" s="20"/>
      <c r="X53" s="20"/>
      <c r="Y53" s="20"/>
      <c r="Z53" s="20"/>
      <c r="AA53" s="20"/>
    </row>
    <row r="54" spans="1:27">
      <c r="A54" s="23">
        <v>46043</v>
      </c>
      <c r="B54" s="21" t="s">
        <v>165</v>
      </c>
      <c r="C54" s="21">
        <v>9843055058</v>
      </c>
      <c r="D54" s="21" t="s">
        <v>166</v>
      </c>
      <c r="E54" s="21" t="s">
        <v>48</v>
      </c>
      <c r="F54" s="21" t="s">
        <v>33</v>
      </c>
      <c r="G54" s="20" t="s">
        <v>33</v>
      </c>
      <c r="H54" s="20" t="s">
        <v>36</v>
      </c>
      <c r="I54" s="20"/>
      <c r="J54" s="20" t="s">
        <v>36</v>
      </c>
      <c r="K54" s="20"/>
      <c r="L54" s="32" t="s">
        <v>33</v>
      </c>
      <c r="M54" s="25" t="s">
        <v>34</v>
      </c>
      <c r="N54" s="25" t="s">
        <v>34</v>
      </c>
      <c r="O54" s="24" t="s">
        <v>33</v>
      </c>
      <c r="P54" s="24" t="s">
        <v>33</v>
      </c>
      <c r="Q54" s="25"/>
      <c r="R54" s="20" t="s">
        <v>167</v>
      </c>
      <c r="S54" s="26" t="s">
        <v>168</v>
      </c>
      <c r="T54" s="24" t="s">
        <v>40</v>
      </c>
      <c r="U54" s="20" t="s">
        <v>33</v>
      </c>
      <c r="V54" s="20"/>
      <c r="W54" s="20"/>
      <c r="X54" s="20"/>
      <c r="Y54" s="20"/>
      <c r="Z54" s="20"/>
      <c r="AA54" s="20"/>
    </row>
    <row r="55" spans="1:27">
      <c r="A55" s="23">
        <v>46043</v>
      </c>
      <c r="B55" s="21" t="s">
        <v>169</v>
      </c>
      <c r="C55" s="20">
        <v>9789316318</v>
      </c>
      <c r="D55" s="21" t="s">
        <v>170</v>
      </c>
      <c r="E55" s="21" t="s">
        <v>48</v>
      </c>
      <c r="F55" s="21" t="s">
        <v>33</v>
      </c>
      <c r="G55" s="20" t="s">
        <v>33</v>
      </c>
      <c r="H55" s="20" t="s">
        <v>36</v>
      </c>
      <c r="I55" s="20"/>
      <c r="J55" s="20" t="s">
        <v>36</v>
      </c>
      <c r="K55" s="20"/>
      <c r="L55" s="102" t="s">
        <v>33</v>
      </c>
      <c r="M55" s="25" t="s">
        <v>34</v>
      </c>
      <c r="N55" s="25" t="s">
        <v>34</v>
      </c>
      <c r="O55" s="24" t="s">
        <v>33</v>
      </c>
      <c r="P55" s="24" t="s">
        <v>33</v>
      </c>
      <c r="Q55" s="25"/>
      <c r="R55" s="20"/>
      <c r="S55" s="20"/>
      <c r="T55" s="20"/>
      <c r="U55" s="20"/>
      <c r="V55" s="20"/>
      <c r="W55" s="20"/>
      <c r="X55" s="20"/>
      <c r="Y55" s="20"/>
      <c r="Z55" s="20"/>
      <c r="AA55" s="20"/>
    </row>
    <row r="56" spans="1:27">
      <c r="A56" s="23">
        <v>46043</v>
      </c>
      <c r="B56" s="21" t="s">
        <v>171</v>
      </c>
      <c r="C56" s="21">
        <v>9994764405</v>
      </c>
      <c r="D56" s="21" t="s">
        <v>172</v>
      </c>
      <c r="E56" s="21" t="s">
        <v>48</v>
      </c>
      <c r="F56" s="21" t="s">
        <v>33</v>
      </c>
      <c r="G56" s="20" t="s">
        <v>33</v>
      </c>
      <c r="H56" s="20" t="s">
        <v>36</v>
      </c>
      <c r="I56" s="20"/>
      <c r="J56" s="20" t="s">
        <v>36</v>
      </c>
      <c r="K56" s="20"/>
      <c r="L56" s="32" t="s">
        <v>33</v>
      </c>
      <c r="M56" s="25" t="s">
        <v>34</v>
      </c>
      <c r="N56" s="25" t="s">
        <v>34</v>
      </c>
      <c r="O56" s="24" t="s">
        <v>33</v>
      </c>
      <c r="P56" s="24" t="s">
        <v>33</v>
      </c>
      <c r="Q56" s="25"/>
      <c r="R56" s="20"/>
      <c r="S56" s="20"/>
      <c r="T56" s="20"/>
      <c r="U56" s="20"/>
      <c r="V56" s="20"/>
      <c r="W56" s="20"/>
      <c r="X56" s="20"/>
      <c r="Y56" s="20"/>
      <c r="Z56" s="20"/>
      <c r="AA56" s="20"/>
    </row>
    <row r="57" spans="1:27">
      <c r="A57" s="23">
        <v>46044</v>
      </c>
      <c r="B57" s="21" t="s">
        <v>173</v>
      </c>
      <c r="C57" s="21">
        <v>9789697906</v>
      </c>
      <c r="D57" s="21" t="s">
        <v>174</v>
      </c>
      <c r="E57" s="21" t="s">
        <v>48</v>
      </c>
      <c r="F57" s="21" t="s">
        <v>33</v>
      </c>
      <c r="G57" s="20" t="s">
        <v>33</v>
      </c>
      <c r="H57" s="20" t="s">
        <v>34</v>
      </c>
      <c r="I57" s="20" t="s">
        <v>67</v>
      </c>
      <c r="J57" s="20" t="s">
        <v>36</v>
      </c>
      <c r="K57" s="20"/>
      <c r="L57" s="32" t="s">
        <v>33</v>
      </c>
      <c r="M57" s="25" t="s">
        <v>34</v>
      </c>
      <c r="N57" s="25" t="s">
        <v>34</v>
      </c>
      <c r="O57" s="24" t="s">
        <v>33</v>
      </c>
      <c r="P57" s="24" t="s">
        <v>33</v>
      </c>
      <c r="Q57" s="22" t="s">
        <v>175</v>
      </c>
      <c r="R57" s="20" t="s">
        <v>176</v>
      </c>
      <c r="S57" s="20" t="s">
        <v>177</v>
      </c>
      <c r="T57" s="24" t="s">
        <v>40</v>
      </c>
      <c r="U57" s="20"/>
      <c r="V57" s="20"/>
      <c r="W57" s="20"/>
      <c r="X57" s="20"/>
      <c r="Y57" s="20"/>
      <c r="Z57" s="20"/>
      <c r="AA57" s="20"/>
    </row>
    <row r="58" spans="1:27">
      <c r="A58" s="23">
        <v>46044</v>
      </c>
      <c r="B58" s="21" t="s">
        <v>178</v>
      </c>
      <c r="C58" s="21">
        <v>8639180287</v>
      </c>
      <c r="D58" s="21" t="s">
        <v>179</v>
      </c>
      <c r="E58" s="21" t="s">
        <v>48</v>
      </c>
      <c r="F58" s="21" t="s">
        <v>33</v>
      </c>
      <c r="G58" s="20" t="s">
        <v>33</v>
      </c>
      <c r="H58" s="20" t="s">
        <v>34</v>
      </c>
      <c r="I58" s="20" t="s">
        <v>67</v>
      </c>
      <c r="J58" s="20" t="s">
        <v>36</v>
      </c>
      <c r="K58" s="20"/>
      <c r="L58" s="32" t="s">
        <v>33</v>
      </c>
      <c r="M58" s="25" t="s">
        <v>34</v>
      </c>
      <c r="N58" s="25" t="s">
        <v>34</v>
      </c>
      <c r="O58" s="24" t="s">
        <v>33</v>
      </c>
      <c r="P58" s="24" t="s">
        <v>33</v>
      </c>
      <c r="Q58" s="22" t="s">
        <v>180</v>
      </c>
      <c r="R58" s="20"/>
      <c r="S58" s="20"/>
      <c r="T58" s="20"/>
      <c r="U58" s="20"/>
      <c r="V58" s="20"/>
      <c r="W58" s="20"/>
      <c r="X58" s="20"/>
      <c r="Y58" s="20"/>
      <c r="Z58" s="20"/>
      <c r="AA58" s="20"/>
    </row>
    <row r="59" spans="1:27">
      <c r="A59" s="23">
        <v>46044</v>
      </c>
      <c r="B59" s="21" t="s">
        <v>181</v>
      </c>
      <c r="C59" s="21">
        <v>6382052427</v>
      </c>
      <c r="D59" s="21" t="s">
        <v>182</v>
      </c>
      <c r="E59" s="21" t="s">
        <v>48</v>
      </c>
      <c r="F59" s="21" t="s">
        <v>33</v>
      </c>
      <c r="G59" s="20" t="s">
        <v>33</v>
      </c>
      <c r="H59" s="20" t="s">
        <v>34</v>
      </c>
      <c r="I59" s="20" t="s">
        <v>183</v>
      </c>
      <c r="J59" s="20" t="s">
        <v>36</v>
      </c>
      <c r="K59" s="20"/>
      <c r="L59" s="32" t="s">
        <v>33</v>
      </c>
      <c r="M59" s="25" t="s">
        <v>34</v>
      </c>
      <c r="N59" s="25" t="s">
        <v>34</v>
      </c>
      <c r="O59" s="24" t="s">
        <v>33</v>
      </c>
      <c r="P59" s="24" t="s">
        <v>33</v>
      </c>
      <c r="Q59" s="22" t="s">
        <v>92</v>
      </c>
      <c r="R59" s="20" t="s">
        <v>184</v>
      </c>
      <c r="S59" s="20" t="s">
        <v>185</v>
      </c>
      <c r="T59" s="7" t="s">
        <v>40</v>
      </c>
      <c r="U59" s="20"/>
      <c r="V59" s="20"/>
      <c r="W59" s="20"/>
      <c r="X59" s="20"/>
      <c r="Y59" s="20"/>
      <c r="Z59" s="20"/>
      <c r="AA59" s="20"/>
    </row>
    <row r="60" spans="1:27">
      <c r="A60" s="23">
        <v>46044</v>
      </c>
      <c r="B60" s="21" t="s">
        <v>186</v>
      </c>
      <c r="C60" s="21">
        <v>9884329942</v>
      </c>
      <c r="D60" s="21" t="s">
        <v>187</v>
      </c>
      <c r="E60" s="21" t="s">
        <v>86</v>
      </c>
      <c r="F60" s="21" t="s">
        <v>33</v>
      </c>
      <c r="G60" s="20" t="s">
        <v>33</v>
      </c>
      <c r="H60" s="20" t="s">
        <v>34</v>
      </c>
      <c r="I60" s="20" t="s">
        <v>188</v>
      </c>
      <c r="J60" s="20" t="s">
        <v>36</v>
      </c>
      <c r="K60" s="20"/>
      <c r="L60" s="32" t="s">
        <v>33</v>
      </c>
      <c r="M60" s="25" t="s">
        <v>34</v>
      </c>
      <c r="N60" s="25" t="s">
        <v>34</v>
      </c>
      <c r="O60" s="24" t="s">
        <v>33</v>
      </c>
      <c r="P60" s="24" t="s">
        <v>33</v>
      </c>
      <c r="Q60" s="22" t="s">
        <v>189</v>
      </c>
      <c r="R60" s="20" t="s">
        <v>190</v>
      </c>
      <c r="S60" s="20" t="s">
        <v>191</v>
      </c>
      <c r="T60" s="24" t="s">
        <v>40</v>
      </c>
      <c r="U60" s="20" t="s">
        <v>33</v>
      </c>
      <c r="V60" s="20"/>
      <c r="W60" s="20" t="s">
        <v>33</v>
      </c>
      <c r="X60" s="20"/>
      <c r="Y60" s="20"/>
      <c r="Z60" s="20"/>
      <c r="AA60" s="20" t="s">
        <v>33</v>
      </c>
    </row>
    <row r="61" spans="1:27">
      <c r="A61" s="23">
        <v>46045</v>
      </c>
      <c r="B61" s="21" t="s">
        <v>192</v>
      </c>
      <c r="C61" s="21">
        <v>9342054487</v>
      </c>
      <c r="D61" s="21" t="s">
        <v>193</v>
      </c>
      <c r="E61" s="21" t="s">
        <v>48</v>
      </c>
      <c r="F61" s="21" t="s">
        <v>62</v>
      </c>
      <c r="G61" s="61" t="s">
        <v>37</v>
      </c>
      <c r="H61" s="20" t="s">
        <v>36</v>
      </c>
      <c r="I61" s="20"/>
      <c r="J61" s="20" t="s">
        <v>36</v>
      </c>
      <c r="K61" s="20"/>
      <c r="L61" s="32" t="s">
        <v>37</v>
      </c>
      <c r="M61" s="25" t="s">
        <v>34</v>
      </c>
      <c r="N61" s="25" t="s">
        <v>34</v>
      </c>
      <c r="O61" s="24" t="s">
        <v>33</v>
      </c>
      <c r="P61" s="24" t="s">
        <v>33</v>
      </c>
      <c r="Q61" s="25"/>
      <c r="R61" s="20"/>
      <c r="S61" s="20"/>
      <c r="T61" s="20"/>
      <c r="U61" s="20"/>
      <c r="V61" s="20"/>
      <c r="W61" s="20"/>
      <c r="X61" s="20"/>
      <c r="Y61" s="20"/>
      <c r="Z61" s="20"/>
      <c r="AA61" s="20"/>
    </row>
    <row r="62" spans="1:27">
      <c r="A62" s="23">
        <v>46045</v>
      </c>
      <c r="B62" s="21" t="s">
        <v>194</v>
      </c>
      <c r="C62" s="21">
        <v>8940695834</v>
      </c>
      <c r="D62" s="21" t="s">
        <v>195</v>
      </c>
      <c r="E62" s="21" t="s">
        <v>196</v>
      </c>
      <c r="F62" s="21" t="s">
        <v>97</v>
      </c>
      <c r="G62" s="20" t="s">
        <v>33</v>
      </c>
      <c r="H62" s="20" t="s">
        <v>36</v>
      </c>
      <c r="I62" s="20"/>
      <c r="J62" s="20" t="s">
        <v>36</v>
      </c>
      <c r="K62" s="20"/>
      <c r="L62" s="32" t="s">
        <v>33</v>
      </c>
      <c r="M62" s="25" t="s">
        <v>34</v>
      </c>
      <c r="N62" s="25" t="s">
        <v>34</v>
      </c>
      <c r="O62" s="24" t="s">
        <v>33</v>
      </c>
      <c r="P62" s="24" t="s">
        <v>33</v>
      </c>
      <c r="Q62" s="22" t="s">
        <v>197</v>
      </c>
      <c r="R62" s="20" t="s">
        <v>198</v>
      </c>
      <c r="S62" s="20"/>
      <c r="T62" s="20"/>
      <c r="U62" s="20" t="s">
        <v>33</v>
      </c>
      <c r="V62" s="20" t="s">
        <v>33</v>
      </c>
      <c r="W62" s="20" t="s">
        <v>33</v>
      </c>
      <c r="X62" s="20"/>
      <c r="Y62" s="20"/>
      <c r="Z62" s="20"/>
      <c r="AA62" s="20"/>
    </row>
    <row r="63" spans="1:27">
      <c r="A63" s="23">
        <v>46045</v>
      </c>
      <c r="B63" s="21" t="s">
        <v>30</v>
      </c>
      <c r="C63" s="21">
        <v>8105047843</v>
      </c>
      <c r="D63" s="21" t="s">
        <v>31</v>
      </c>
      <c r="E63" s="21" t="s">
        <v>199</v>
      </c>
      <c r="F63" s="21" t="s">
        <v>33</v>
      </c>
      <c r="G63" s="61" t="s">
        <v>37</v>
      </c>
      <c r="H63" s="20" t="s">
        <v>200</v>
      </c>
      <c r="I63" s="20" t="s">
        <v>35</v>
      </c>
      <c r="J63" s="20" t="s">
        <v>36</v>
      </c>
      <c r="K63" s="20"/>
      <c r="L63" s="32" t="s">
        <v>37</v>
      </c>
      <c r="M63" s="25" t="s">
        <v>34</v>
      </c>
      <c r="N63" s="25" t="s">
        <v>34</v>
      </c>
      <c r="O63" s="24" t="s">
        <v>33</v>
      </c>
      <c r="P63" s="24" t="s">
        <v>33</v>
      </c>
      <c r="Q63" s="25"/>
      <c r="R63" s="20" t="s">
        <v>38</v>
      </c>
      <c r="S63" s="20" t="s">
        <v>201</v>
      </c>
      <c r="T63" s="24" t="s">
        <v>40</v>
      </c>
      <c r="U63" s="20"/>
      <c r="V63" s="20"/>
      <c r="W63" s="20"/>
      <c r="X63" s="20"/>
      <c r="Y63" s="20"/>
      <c r="Z63" s="20"/>
      <c r="AA63" s="20"/>
    </row>
    <row r="64" spans="1:27">
      <c r="A64" s="23">
        <v>46049</v>
      </c>
      <c r="B64" s="21" t="s">
        <v>202</v>
      </c>
      <c r="C64" s="21">
        <v>9994230405</v>
      </c>
      <c r="D64" s="21" t="s">
        <v>203</v>
      </c>
      <c r="E64" s="21" t="s">
        <v>86</v>
      </c>
      <c r="F64" s="21" t="s">
        <v>33</v>
      </c>
      <c r="G64" s="20" t="s">
        <v>33</v>
      </c>
      <c r="H64" s="20" t="s">
        <v>200</v>
      </c>
      <c r="I64" s="20" t="s">
        <v>204</v>
      </c>
      <c r="J64" s="20" t="s">
        <v>36</v>
      </c>
      <c r="K64" s="20"/>
      <c r="L64" s="32" t="s">
        <v>33</v>
      </c>
      <c r="M64" s="25" t="s">
        <v>34</v>
      </c>
      <c r="N64" s="25" t="s">
        <v>34</v>
      </c>
      <c r="O64" s="24" t="s">
        <v>33</v>
      </c>
      <c r="P64" s="24" t="s">
        <v>33</v>
      </c>
      <c r="Q64" s="22" t="s">
        <v>205</v>
      </c>
      <c r="R64" s="20" t="s">
        <v>206</v>
      </c>
      <c r="S64" s="20" t="s">
        <v>207</v>
      </c>
      <c r="T64" s="7" t="s">
        <v>40</v>
      </c>
      <c r="U64" s="20"/>
      <c r="V64" s="20" t="s">
        <v>33</v>
      </c>
      <c r="W64" s="20"/>
      <c r="X64" s="20"/>
      <c r="Y64" s="20"/>
      <c r="Z64" s="20"/>
      <c r="AA64" s="20"/>
    </row>
    <row r="65" spans="1:27" ht="14.65" customHeight="1">
      <c r="A65" s="23">
        <v>46049</v>
      </c>
      <c r="B65" s="21" t="s">
        <v>208</v>
      </c>
      <c r="C65" s="21">
        <v>8072831530</v>
      </c>
      <c r="D65" s="21" t="s">
        <v>209</v>
      </c>
      <c r="E65" s="20" t="s">
        <v>48</v>
      </c>
      <c r="F65" s="20" t="s">
        <v>33</v>
      </c>
      <c r="G65" s="20" t="s">
        <v>33</v>
      </c>
      <c r="H65" s="20" t="s">
        <v>200</v>
      </c>
      <c r="I65" s="20" t="s">
        <v>210</v>
      </c>
      <c r="J65" s="20" t="s">
        <v>36</v>
      </c>
      <c r="K65" s="20"/>
      <c r="L65" s="32" t="s">
        <v>33</v>
      </c>
      <c r="M65" s="25" t="s">
        <v>34</v>
      </c>
      <c r="N65" s="25" t="s">
        <v>34</v>
      </c>
      <c r="O65" s="24" t="s">
        <v>33</v>
      </c>
      <c r="P65" s="24" t="s">
        <v>33</v>
      </c>
      <c r="Q65" s="22" t="s">
        <v>211</v>
      </c>
      <c r="R65" s="20"/>
      <c r="S65" s="20" t="s">
        <v>212</v>
      </c>
      <c r="T65" s="20" t="s">
        <v>33</v>
      </c>
      <c r="U65" s="20"/>
      <c r="V65" s="20"/>
      <c r="W65" s="20"/>
      <c r="X65" s="20"/>
      <c r="Y65" s="20"/>
      <c r="Z65" s="20"/>
      <c r="AA65" s="20"/>
    </row>
    <row r="66" spans="1:27">
      <c r="A66" s="23">
        <v>46049</v>
      </c>
      <c r="B66" s="21" t="s">
        <v>213</v>
      </c>
      <c r="C66" s="21">
        <v>8508668070</v>
      </c>
      <c r="D66" s="21" t="s">
        <v>214</v>
      </c>
      <c r="E66" s="20" t="s">
        <v>48</v>
      </c>
      <c r="F66" s="20" t="s">
        <v>33</v>
      </c>
      <c r="G66" s="61" t="s">
        <v>37</v>
      </c>
      <c r="H66" s="20" t="s">
        <v>200</v>
      </c>
      <c r="I66" s="20" t="s">
        <v>215</v>
      </c>
      <c r="J66" s="20" t="s">
        <v>36</v>
      </c>
      <c r="K66" s="20"/>
      <c r="L66" s="32" t="s">
        <v>33</v>
      </c>
      <c r="M66" s="25" t="s">
        <v>34</v>
      </c>
      <c r="N66" s="25" t="s">
        <v>34</v>
      </c>
      <c r="O66" s="24" t="s">
        <v>33</v>
      </c>
      <c r="P66" s="24" t="s">
        <v>33</v>
      </c>
      <c r="Q66" s="22" t="s">
        <v>216</v>
      </c>
      <c r="R66" s="20"/>
      <c r="S66" s="20" t="s">
        <v>217</v>
      </c>
      <c r="T66" s="24" t="s">
        <v>40</v>
      </c>
      <c r="U66" s="20"/>
      <c r="V66" s="20"/>
      <c r="W66" s="20"/>
      <c r="X66" s="20"/>
      <c r="Y66" s="20"/>
      <c r="Z66" s="20"/>
      <c r="AA66" s="20"/>
    </row>
    <row r="67" spans="1:27">
      <c r="A67" s="23">
        <v>46050</v>
      </c>
      <c r="B67" s="21" t="s">
        <v>218</v>
      </c>
      <c r="C67" s="21">
        <v>7418357910</v>
      </c>
      <c r="D67" s="21" t="s">
        <v>219</v>
      </c>
      <c r="E67" s="20" t="s">
        <v>25</v>
      </c>
      <c r="F67" s="20" t="s">
        <v>33</v>
      </c>
      <c r="G67" s="61" t="s">
        <v>37</v>
      </c>
      <c r="H67" s="20" t="s">
        <v>220</v>
      </c>
      <c r="I67" s="20"/>
      <c r="J67" s="20" t="s">
        <v>36</v>
      </c>
      <c r="K67" s="20"/>
      <c r="L67" s="32" t="s">
        <v>33</v>
      </c>
      <c r="M67" s="25" t="s">
        <v>34</v>
      </c>
      <c r="N67" s="25" t="s">
        <v>34</v>
      </c>
      <c r="O67" s="24" t="s">
        <v>33</v>
      </c>
      <c r="P67" s="24" t="s">
        <v>33</v>
      </c>
      <c r="Q67" s="22"/>
      <c r="R67" s="20"/>
      <c r="S67" s="20"/>
      <c r="T67" s="20"/>
      <c r="U67" s="20"/>
      <c r="V67" s="20"/>
      <c r="W67" s="20"/>
      <c r="X67" s="20"/>
      <c r="Y67" s="20"/>
      <c r="Z67" s="20"/>
      <c r="AA67" s="20"/>
    </row>
    <row r="68" spans="1:27">
      <c r="A68" s="23">
        <v>46050</v>
      </c>
      <c r="B68" s="21" t="s">
        <v>221</v>
      </c>
      <c r="C68" s="21">
        <v>9840317787</v>
      </c>
      <c r="D68" s="21" t="s">
        <v>222</v>
      </c>
      <c r="E68" s="20" t="s">
        <v>48</v>
      </c>
      <c r="F68" s="20" t="s">
        <v>33</v>
      </c>
      <c r="G68" s="20" t="s">
        <v>33</v>
      </c>
      <c r="H68" s="20" t="s">
        <v>200</v>
      </c>
      <c r="I68" s="20" t="s">
        <v>223</v>
      </c>
      <c r="J68" s="20" t="s">
        <v>36</v>
      </c>
      <c r="K68" s="20"/>
      <c r="L68" s="32" t="s">
        <v>37</v>
      </c>
      <c r="M68" s="25" t="s">
        <v>34</v>
      </c>
      <c r="N68" s="25" t="s">
        <v>34</v>
      </c>
      <c r="O68" s="24" t="s">
        <v>33</v>
      </c>
      <c r="P68" s="24" t="s">
        <v>33</v>
      </c>
      <c r="Q68" s="22" t="s">
        <v>197</v>
      </c>
      <c r="R68" s="20" t="s">
        <v>224</v>
      </c>
      <c r="S68" s="20" t="s">
        <v>225</v>
      </c>
      <c r="T68" s="24" t="s">
        <v>40</v>
      </c>
      <c r="U68" s="20" t="s">
        <v>33</v>
      </c>
      <c r="V68" s="20"/>
      <c r="W68" s="20"/>
      <c r="X68" s="20"/>
      <c r="Y68" s="20"/>
      <c r="Z68" s="20"/>
      <c r="AA68" s="20"/>
    </row>
    <row r="69" spans="1:27">
      <c r="A69" s="23">
        <v>46050</v>
      </c>
      <c r="B69" s="21" t="s">
        <v>226</v>
      </c>
      <c r="C69" s="21">
        <v>7358503387</v>
      </c>
      <c r="D69" s="27" t="s">
        <v>227</v>
      </c>
      <c r="E69" s="20" t="s">
        <v>48</v>
      </c>
      <c r="F69" s="20" t="s">
        <v>33</v>
      </c>
      <c r="G69" s="20" t="s">
        <v>33</v>
      </c>
      <c r="H69" s="20" t="s">
        <v>36</v>
      </c>
      <c r="I69" s="20"/>
      <c r="J69" s="20" t="s">
        <v>36</v>
      </c>
      <c r="K69" s="20"/>
      <c r="L69" s="32" t="s">
        <v>33</v>
      </c>
      <c r="M69" s="25"/>
      <c r="N69" s="25"/>
      <c r="O69" s="24" t="s">
        <v>33</v>
      </c>
      <c r="P69" s="24" t="s">
        <v>33</v>
      </c>
      <c r="Q69" s="22"/>
      <c r="R69" s="20" t="s">
        <v>228</v>
      </c>
      <c r="S69" s="20" t="s">
        <v>229</v>
      </c>
      <c r="T69" s="20" t="s">
        <v>33</v>
      </c>
      <c r="U69" s="20"/>
      <c r="V69" s="20"/>
      <c r="W69" s="20"/>
      <c r="X69" s="20"/>
      <c r="Y69" s="20" t="s">
        <v>33</v>
      </c>
      <c r="Z69" s="20"/>
      <c r="AA69" s="20"/>
    </row>
    <row r="70" spans="1:27">
      <c r="A70" s="23">
        <v>46051</v>
      </c>
      <c r="B70" s="21" t="s">
        <v>230</v>
      </c>
      <c r="C70" s="21">
        <v>9487991756</v>
      </c>
      <c r="D70" s="27" t="s">
        <v>231</v>
      </c>
      <c r="E70" s="20" t="s">
        <v>26</v>
      </c>
      <c r="F70" s="20" t="s">
        <v>33</v>
      </c>
      <c r="G70" s="61" t="s">
        <v>37</v>
      </c>
      <c r="H70" s="20" t="s">
        <v>34</v>
      </c>
      <c r="I70" s="20" t="s">
        <v>232</v>
      </c>
      <c r="J70" s="20" t="s">
        <v>34</v>
      </c>
      <c r="K70" s="20" t="s">
        <v>233</v>
      </c>
      <c r="L70" s="32" t="s">
        <v>37</v>
      </c>
      <c r="M70" s="25" t="s">
        <v>34</v>
      </c>
      <c r="N70" s="25" t="s">
        <v>34</v>
      </c>
      <c r="O70" s="24" t="s">
        <v>33</v>
      </c>
      <c r="P70" s="24" t="s">
        <v>33</v>
      </c>
      <c r="Q70" s="22" t="s">
        <v>127</v>
      </c>
      <c r="R70" s="20" t="s">
        <v>234</v>
      </c>
      <c r="S70" s="20" t="s">
        <v>235</v>
      </c>
      <c r="T70" s="24" t="s">
        <v>40</v>
      </c>
      <c r="U70" s="20"/>
      <c r="V70" s="20"/>
      <c r="W70" s="20"/>
      <c r="X70" s="20" t="s">
        <v>33</v>
      </c>
      <c r="Y70" s="20" t="s">
        <v>33</v>
      </c>
      <c r="Z70" s="20"/>
      <c r="AA70" s="20"/>
    </row>
    <row r="71" spans="1:27">
      <c r="A71" s="23">
        <v>46051</v>
      </c>
      <c r="B71" s="27" t="s">
        <v>236</v>
      </c>
      <c r="C71" s="21">
        <v>9094845797</v>
      </c>
      <c r="D71" s="27" t="s">
        <v>237</v>
      </c>
      <c r="E71" s="20" t="s">
        <v>48</v>
      </c>
      <c r="F71" s="20" t="s">
        <v>33</v>
      </c>
      <c r="G71" s="20" t="s">
        <v>33</v>
      </c>
      <c r="H71" s="20" t="s">
        <v>36</v>
      </c>
      <c r="I71" s="20"/>
      <c r="J71" s="20" t="s">
        <v>36</v>
      </c>
      <c r="K71" s="20"/>
      <c r="L71" s="32" t="s">
        <v>33</v>
      </c>
      <c r="M71" s="25"/>
      <c r="N71" s="25"/>
      <c r="O71" s="24" t="s">
        <v>33</v>
      </c>
      <c r="P71" s="24" t="s">
        <v>33</v>
      </c>
      <c r="Q71" s="22"/>
      <c r="R71" s="20" t="s">
        <v>238</v>
      </c>
      <c r="S71" s="20" t="s">
        <v>239</v>
      </c>
      <c r="T71" s="7" t="s">
        <v>40</v>
      </c>
      <c r="U71" s="20" t="s">
        <v>33</v>
      </c>
      <c r="V71" s="20"/>
      <c r="W71" s="20"/>
      <c r="X71" s="20"/>
      <c r="Y71" s="20"/>
      <c r="Z71" s="20"/>
      <c r="AA71" s="20"/>
    </row>
    <row r="72" spans="1:27">
      <c r="A72" s="23">
        <v>46051</v>
      </c>
      <c r="B72" s="21" t="s">
        <v>240</v>
      </c>
      <c r="C72" s="21">
        <v>9962561400</v>
      </c>
      <c r="D72" s="27" t="s">
        <v>241</v>
      </c>
      <c r="E72" s="20" t="s">
        <v>26</v>
      </c>
      <c r="F72" s="20" t="s">
        <v>33</v>
      </c>
      <c r="G72" s="61" t="s">
        <v>37</v>
      </c>
      <c r="H72" s="20" t="s">
        <v>34</v>
      </c>
      <c r="I72" s="20" t="s">
        <v>242</v>
      </c>
      <c r="J72" s="20" t="s">
        <v>34</v>
      </c>
      <c r="K72" s="20" t="s">
        <v>233</v>
      </c>
      <c r="L72" s="32" t="s">
        <v>33</v>
      </c>
      <c r="M72" s="25" t="s">
        <v>34</v>
      </c>
      <c r="N72" s="25" t="s">
        <v>34</v>
      </c>
      <c r="O72" s="24" t="s">
        <v>33</v>
      </c>
      <c r="P72" s="24" t="s">
        <v>33</v>
      </c>
      <c r="Q72" s="22" t="s">
        <v>127</v>
      </c>
      <c r="R72" s="20" t="s">
        <v>122</v>
      </c>
      <c r="S72" s="20" t="s">
        <v>243</v>
      </c>
      <c r="T72" s="24" t="s">
        <v>40</v>
      </c>
      <c r="U72" s="20"/>
      <c r="V72" s="20"/>
      <c r="W72" s="20"/>
      <c r="X72" s="20" t="s">
        <v>33</v>
      </c>
      <c r="Y72" s="20" t="s">
        <v>33</v>
      </c>
      <c r="Z72" s="20"/>
      <c r="AA72" s="20" t="s">
        <v>33</v>
      </c>
    </row>
    <row r="73" spans="1:27">
      <c r="A73" s="23">
        <v>46052</v>
      </c>
      <c r="B73" s="21" t="s">
        <v>244</v>
      </c>
      <c r="C73" s="21">
        <v>9751974220</v>
      </c>
      <c r="D73" s="33" t="s">
        <v>245</v>
      </c>
      <c r="E73" s="20" t="s">
        <v>246</v>
      </c>
      <c r="F73" s="20" t="s">
        <v>33</v>
      </c>
      <c r="G73" s="20" t="s">
        <v>33</v>
      </c>
      <c r="H73" s="20" t="s">
        <v>36</v>
      </c>
      <c r="I73" s="20"/>
      <c r="J73" s="20" t="s">
        <v>36</v>
      </c>
      <c r="K73" s="20"/>
      <c r="L73" s="32" t="s">
        <v>33</v>
      </c>
      <c r="M73" s="25" t="s">
        <v>34</v>
      </c>
      <c r="N73" s="25" t="s">
        <v>34</v>
      </c>
      <c r="O73" s="24" t="s">
        <v>33</v>
      </c>
      <c r="P73" s="24" t="s">
        <v>33</v>
      </c>
      <c r="Q73" s="20"/>
      <c r="R73" s="20"/>
      <c r="S73" s="20"/>
      <c r="T73" s="20"/>
      <c r="U73" s="20"/>
      <c r="V73" s="20"/>
      <c r="W73" s="20"/>
      <c r="X73" s="20"/>
      <c r="Y73" s="20"/>
      <c r="Z73" s="20"/>
      <c r="AA73" s="20"/>
    </row>
    <row r="74" spans="1:27">
      <c r="A74" s="23">
        <v>46052</v>
      </c>
      <c r="B74" s="21" t="s">
        <v>247</v>
      </c>
      <c r="C74" s="21">
        <v>8892484486</v>
      </c>
      <c r="D74" s="33" t="s">
        <v>132</v>
      </c>
      <c r="E74" s="20" t="s">
        <v>48</v>
      </c>
      <c r="F74" s="20" t="s">
        <v>62</v>
      </c>
      <c r="G74" s="20" t="s">
        <v>33</v>
      </c>
      <c r="H74" s="20" t="s">
        <v>34</v>
      </c>
      <c r="I74" s="22" t="s">
        <v>133</v>
      </c>
      <c r="J74" s="20" t="s">
        <v>36</v>
      </c>
      <c r="K74" s="20"/>
      <c r="L74" s="32" t="s">
        <v>33</v>
      </c>
      <c r="M74" s="25" t="s">
        <v>34</v>
      </c>
      <c r="N74" s="25" t="s">
        <v>34</v>
      </c>
      <c r="O74" s="24" t="s">
        <v>33</v>
      </c>
      <c r="P74" s="24" t="s">
        <v>33</v>
      </c>
      <c r="Q74" s="22" t="s">
        <v>248</v>
      </c>
      <c r="R74" s="20"/>
      <c r="S74" s="20"/>
      <c r="T74" s="20"/>
      <c r="U74" s="20"/>
      <c r="V74" s="20"/>
      <c r="W74" s="20"/>
      <c r="X74" s="20"/>
      <c r="Y74" s="20"/>
      <c r="Z74" s="20"/>
      <c r="AA74" s="20"/>
    </row>
    <row r="75" spans="1:27">
      <c r="A75" s="23">
        <v>46052</v>
      </c>
      <c r="B75" s="21" t="s">
        <v>249</v>
      </c>
      <c r="C75" s="21">
        <v>9841907133</v>
      </c>
      <c r="D75" s="33" t="s">
        <v>250</v>
      </c>
      <c r="E75" s="20" t="s">
        <v>251</v>
      </c>
      <c r="F75" s="20" t="s">
        <v>33</v>
      </c>
      <c r="G75" s="20" t="s">
        <v>33</v>
      </c>
      <c r="H75" s="20" t="s">
        <v>36</v>
      </c>
      <c r="I75" s="20"/>
      <c r="J75" s="20" t="s">
        <v>36</v>
      </c>
      <c r="K75" s="20"/>
      <c r="L75" s="32" t="s">
        <v>33</v>
      </c>
      <c r="M75" s="25" t="s">
        <v>34</v>
      </c>
      <c r="N75" s="25" t="s">
        <v>34</v>
      </c>
      <c r="O75" s="24" t="s">
        <v>33</v>
      </c>
      <c r="P75" s="24" t="s">
        <v>33</v>
      </c>
      <c r="Q75" s="20"/>
      <c r="R75" s="20"/>
      <c r="S75" s="20" t="s">
        <v>252</v>
      </c>
      <c r="T75" s="4" t="s">
        <v>40</v>
      </c>
      <c r="U75" s="20" t="s">
        <v>33</v>
      </c>
      <c r="V75" s="20" t="s">
        <v>33</v>
      </c>
      <c r="W75" s="20" t="s">
        <v>33</v>
      </c>
      <c r="X75" s="20"/>
      <c r="Y75" s="20" t="s">
        <v>33</v>
      </c>
      <c r="Z75" s="20"/>
      <c r="AA75" s="20"/>
    </row>
    <row r="76" spans="1:27">
      <c r="A76" s="23">
        <v>46052</v>
      </c>
      <c r="B76" s="21" t="s">
        <v>253</v>
      </c>
      <c r="C76" s="21">
        <v>9361007618</v>
      </c>
      <c r="D76" s="33" t="s">
        <v>254</v>
      </c>
      <c r="E76" s="20" t="s">
        <v>48</v>
      </c>
      <c r="F76" s="20" t="s">
        <v>33</v>
      </c>
      <c r="G76" s="20" t="s">
        <v>33</v>
      </c>
      <c r="H76" s="20" t="s">
        <v>34</v>
      </c>
      <c r="I76" s="22" t="s">
        <v>255</v>
      </c>
      <c r="J76" s="20" t="s">
        <v>34</v>
      </c>
      <c r="K76" s="20" t="s">
        <v>233</v>
      </c>
      <c r="L76" s="32" t="s">
        <v>33</v>
      </c>
      <c r="M76" s="25" t="s">
        <v>34</v>
      </c>
      <c r="N76" s="25" t="s">
        <v>34</v>
      </c>
      <c r="O76" s="24" t="s">
        <v>33</v>
      </c>
      <c r="P76" s="24" t="s">
        <v>33</v>
      </c>
      <c r="Q76" s="22" t="s">
        <v>256</v>
      </c>
      <c r="R76" s="20" t="s">
        <v>257</v>
      </c>
      <c r="S76" s="20" t="s">
        <v>258</v>
      </c>
      <c r="T76" s="4" t="s">
        <v>40</v>
      </c>
      <c r="U76" s="20"/>
      <c r="V76" s="20"/>
      <c r="W76" s="20"/>
      <c r="X76" s="20"/>
      <c r="Y76" s="20"/>
      <c r="Z76" s="20"/>
      <c r="AA76" s="20"/>
    </row>
    <row r="77" spans="1:27">
      <c r="A77" s="23">
        <v>46052</v>
      </c>
      <c r="B77" s="21" t="s">
        <v>259</v>
      </c>
      <c r="C77" s="21">
        <v>9345774119</v>
      </c>
      <c r="D77" s="33" t="s">
        <v>142</v>
      </c>
      <c r="E77" s="20" t="s">
        <v>48</v>
      </c>
      <c r="F77" s="20" t="s">
        <v>62</v>
      </c>
      <c r="G77" s="20" t="s">
        <v>33</v>
      </c>
      <c r="H77" s="20" t="s">
        <v>34</v>
      </c>
      <c r="I77" s="22" t="s">
        <v>67</v>
      </c>
      <c r="J77" s="20" t="s">
        <v>36</v>
      </c>
      <c r="K77" s="20"/>
      <c r="L77" s="32" t="s">
        <v>33</v>
      </c>
      <c r="M77" s="25" t="s">
        <v>34</v>
      </c>
      <c r="N77" s="25" t="s">
        <v>34</v>
      </c>
      <c r="O77" s="24" t="s">
        <v>33</v>
      </c>
      <c r="P77" s="24" t="s">
        <v>33</v>
      </c>
      <c r="Q77" s="22" t="s">
        <v>260</v>
      </c>
      <c r="R77" s="20"/>
      <c r="S77" s="20"/>
      <c r="T77" s="20"/>
      <c r="U77" s="20"/>
      <c r="V77" s="20"/>
      <c r="W77" s="20"/>
      <c r="X77" s="20"/>
      <c r="Y77" s="20"/>
      <c r="Z77" s="20"/>
      <c r="AA77" s="20"/>
    </row>
    <row r="78" spans="1:27">
      <c r="A78" s="23">
        <v>46052</v>
      </c>
      <c r="B78" s="21" t="s">
        <v>261</v>
      </c>
      <c r="C78" s="21">
        <v>9500004992</v>
      </c>
      <c r="D78" s="33" t="s">
        <v>262</v>
      </c>
      <c r="E78" s="20" t="s">
        <v>25</v>
      </c>
      <c r="F78" s="20" t="s">
        <v>33</v>
      </c>
      <c r="G78" s="20" t="s">
        <v>33</v>
      </c>
      <c r="H78" s="20" t="s">
        <v>36</v>
      </c>
      <c r="I78" s="20"/>
      <c r="J78" s="20" t="s">
        <v>36</v>
      </c>
      <c r="K78" s="20"/>
      <c r="L78" s="32" t="s">
        <v>33</v>
      </c>
      <c r="M78" s="25" t="s">
        <v>34</v>
      </c>
      <c r="N78" s="25" t="s">
        <v>34</v>
      </c>
      <c r="O78" s="24" t="s">
        <v>33</v>
      </c>
      <c r="P78" s="24" t="s">
        <v>33</v>
      </c>
      <c r="Q78" s="20"/>
      <c r="R78" s="20" t="s">
        <v>228</v>
      </c>
      <c r="S78" s="20" t="s">
        <v>263</v>
      </c>
      <c r="T78" s="24" t="s">
        <v>40</v>
      </c>
      <c r="U78" s="20"/>
      <c r="V78" s="20"/>
      <c r="W78" s="20"/>
      <c r="X78" s="20"/>
      <c r="Y78" s="20"/>
      <c r="Z78" s="20" t="s">
        <v>33</v>
      </c>
      <c r="AA78" s="20"/>
    </row>
    <row r="79" spans="1:27">
      <c r="A79" s="23">
        <v>46052</v>
      </c>
      <c r="B79" s="21" t="s">
        <v>264</v>
      </c>
      <c r="C79" s="21">
        <v>9884894860</v>
      </c>
      <c r="D79" s="33" t="s">
        <v>265</v>
      </c>
      <c r="E79" s="20" t="s">
        <v>48</v>
      </c>
      <c r="F79" s="20" t="s">
        <v>33</v>
      </c>
      <c r="G79" s="61" t="s">
        <v>37</v>
      </c>
      <c r="H79" s="20" t="s">
        <v>34</v>
      </c>
      <c r="I79" s="22" t="s">
        <v>266</v>
      </c>
      <c r="J79" s="20" t="s">
        <v>34</v>
      </c>
      <c r="K79" s="20" t="s">
        <v>233</v>
      </c>
      <c r="L79" s="32" t="s">
        <v>33</v>
      </c>
      <c r="M79" s="25" t="s">
        <v>34</v>
      </c>
      <c r="N79" s="25" t="s">
        <v>34</v>
      </c>
      <c r="O79" s="24" t="s">
        <v>33</v>
      </c>
      <c r="P79" s="24" t="s">
        <v>33</v>
      </c>
      <c r="Q79" s="22" t="s">
        <v>267</v>
      </c>
      <c r="R79" s="20"/>
      <c r="S79" s="20"/>
      <c r="T79" s="20"/>
      <c r="U79" s="20"/>
      <c r="V79" s="20"/>
      <c r="W79" s="20"/>
      <c r="X79" s="20"/>
      <c r="Y79" s="20"/>
      <c r="Z79" s="20"/>
      <c r="AA79" s="20"/>
    </row>
    <row r="80" spans="1:27">
      <c r="L80" s="34"/>
    </row>
    <row r="81" spans="2:20" s="34" customFormat="1" ht="15" customHeight="1">
      <c r="B81" s="34" t="s">
        <v>268</v>
      </c>
      <c r="G81" s="62" t="s">
        <v>269</v>
      </c>
      <c r="I81" s="34" t="s">
        <v>270</v>
      </c>
      <c r="K81" s="34" t="s">
        <v>13</v>
      </c>
      <c r="S81" s="34" t="s">
        <v>271</v>
      </c>
      <c r="T81" s="34" t="s">
        <v>272</v>
      </c>
    </row>
    <row r="82" spans="2:20" s="34" customFormat="1" ht="15" customHeight="1">
      <c r="G82" s="62" t="s">
        <v>273</v>
      </c>
      <c r="I82" s="64">
        <f>31/58</f>
        <v>0.53448275862068961</v>
      </c>
      <c r="K82" s="64">
        <f>4/58</f>
        <v>6.8965517241379309E-2</v>
      </c>
      <c r="S82" s="34">
        <v>36</v>
      </c>
      <c r="T82" s="19">
        <f>COUNTIF(T21:T78,"join")</f>
        <v>31</v>
      </c>
    </row>
  </sheetData>
  <autoFilter ref="A21:AA79" xr:uid="{00000000-0009-0000-0000-000000000000}"/>
  <mergeCells count="1">
    <mergeCell ref="A1:E1"/>
  </mergeCells>
  <hyperlinks>
    <hyperlink ref="S22" r:id="rId1" xr:uid="{00000000-0004-0000-0000-000000000000}"/>
    <hyperlink ref="D40" r:id="rId2" xr:uid="{00000000-0004-0000-0000-000001000000}"/>
    <hyperlink ref="S41" r:id="rId3" xr:uid="{00000000-0004-0000-0000-000002000000}"/>
    <hyperlink ref="S53" r:id="rId4" xr:uid="{00000000-0004-0000-0000-000003000000}"/>
    <hyperlink ref="S54" r:id="rId5" xr:uid="{00000000-0004-0000-0000-000004000000}"/>
    <hyperlink ref="D61" r:id="rId6" xr:uid="{00000000-0004-0000-0000-000005000000}"/>
    <hyperlink ref="D64" r:id="rId7" xr:uid="{00000000-0004-0000-0000-000006000000}"/>
    <hyperlink ref="D65" r:id="rId8" xr:uid="{00000000-0004-0000-0000-000007000000}"/>
    <hyperlink ref="D66" r:id="rId9" xr:uid="{00000000-0004-0000-0000-000008000000}"/>
    <hyperlink ref="D70" r:id="rId10" xr:uid="{00000000-0004-0000-0000-000009000000}"/>
    <hyperlink ref="D72" r:id="rId11" xr:uid="{00000000-0004-0000-0000-00000A000000}"/>
    <hyperlink ref="D73" r:id="rId12" xr:uid="{00000000-0004-0000-0000-00000B000000}"/>
    <hyperlink ref="D74" r:id="rId13" xr:uid="{00000000-0004-0000-0000-00000C000000}"/>
    <hyperlink ref="D75" r:id="rId14" xr:uid="{00000000-0004-0000-0000-00000D000000}"/>
    <hyperlink ref="D76" r:id="rId15" xr:uid="{00000000-0004-0000-0000-00000E000000}"/>
    <hyperlink ref="D77" r:id="rId16" xr:uid="{00000000-0004-0000-0000-00000F000000}"/>
    <hyperlink ref="D78" r:id="rId17" xr:uid="{00000000-0004-0000-0000-000010000000}"/>
    <hyperlink ref="D79" r:id="rId18" xr:uid="{00000000-0004-0000-0000-000011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76"/>
  <sheetViews>
    <sheetView zoomScale="83" zoomScaleNormal="83" workbookViewId="0">
      <selection activeCell="D76" sqref="D76"/>
    </sheetView>
  </sheetViews>
  <sheetFormatPr defaultColWidth="9.26953125" defaultRowHeight="13"/>
  <cols>
    <col min="1" max="1" width="10.7265625" style="19" bestFit="1" customWidth="1"/>
    <col min="2" max="2" width="18.7265625" style="19" bestFit="1" customWidth="1"/>
    <col min="3" max="3" width="13.26953125" style="13" bestFit="1" customWidth="1"/>
    <col min="4" max="4" width="29" style="19" customWidth="1"/>
    <col min="5" max="6" width="9.26953125" style="19" customWidth="1"/>
    <col min="7" max="7" width="17.81640625" style="19" bestFit="1" customWidth="1"/>
    <col min="8" max="8" width="4.453125" style="19" customWidth="1"/>
    <col min="9" max="10" width="9.26953125" style="19" customWidth="1"/>
    <col min="11" max="11" width="13.54296875" style="19" customWidth="1"/>
    <col min="12" max="12" width="9.26953125" style="19" customWidth="1"/>
    <col min="13" max="13" width="3.453125" style="19" customWidth="1"/>
    <col min="14" max="14" width="3.26953125" style="19" customWidth="1"/>
    <col min="15" max="15" width="2.54296875" style="19" customWidth="1"/>
    <col min="16" max="16" width="2.7265625" style="19" customWidth="1"/>
    <col min="17" max="18" width="9.26953125" style="19" customWidth="1"/>
    <col min="19" max="19" width="29.7265625" style="19" customWidth="1"/>
    <col min="20" max="20" width="9.26953125" style="19" customWidth="1"/>
    <col min="21" max="21" width="4.7265625" style="19" customWidth="1"/>
    <col min="22" max="22" width="3.453125" style="19" customWidth="1"/>
    <col min="23" max="24" width="4.1796875" style="19" customWidth="1"/>
    <col min="25" max="25" width="4.7265625" style="19" customWidth="1"/>
    <col min="26" max="26" width="3.81640625" style="19" customWidth="1"/>
    <col min="27" max="27" width="4.7265625" style="19" customWidth="1"/>
    <col min="28" max="28" width="5.54296875" style="19" customWidth="1"/>
    <col min="29" max="31" width="9.26953125" style="19" customWidth="1"/>
    <col min="32" max="16384" width="9.26953125" style="19"/>
  </cols>
  <sheetData>
    <row r="1" spans="1:6" ht="15" customHeight="1">
      <c r="A1" s="104" t="s">
        <v>274</v>
      </c>
      <c r="B1" s="105"/>
      <c r="C1" s="105"/>
      <c r="D1" s="105"/>
      <c r="E1" s="106"/>
      <c r="F1" s="34"/>
    </row>
    <row r="2" spans="1:6">
      <c r="A2" s="102" t="s">
        <v>1</v>
      </c>
      <c r="B2" s="102">
        <v>2093</v>
      </c>
      <c r="C2" s="11">
        <v>2337</v>
      </c>
      <c r="D2" s="102">
        <v>2394</v>
      </c>
      <c r="E2" s="102" t="s">
        <v>2</v>
      </c>
      <c r="F2" s="34"/>
    </row>
    <row r="3" spans="1:6">
      <c r="A3" s="3">
        <v>46055</v>
      </c>
      <c r="B3" s="20">
        <v>2</v>
      </c>
      <c r="C3" s="12"/>
      <c r="D3" s="20"/>
      <c r="E3" s="20">
        <v>2</v>
      </c>
    </row>
    <row r="4" spans="1:6">
      <c r="A4" s="3">
        <v>46056</v>
      </c>
      <c r="B4" s="20"/>
      <c r="C4" s="12">
        <v>1</v>
      </c>
      <c r="D4" s="20">
        <v>1</v>
      </c>
      <c r="E4" s="20">
        <v>2</v>
      </c>
    </row>
    <row r="5" spans="1:6">
      <c r="A5" s="3">
        <v>46057</v>
      </c>
      <c r="B5" s="20">
        <v>2</v>
      </c>
      <c r="C5" s="12"/>
      <c r="D5" s="20"/>
      <c r="E5" s="20">
        <v>2</v>
      </c>
    </row>
    <row r="6" spans="1:6">
      <c r="A6" s="3">
        <v>46058</v>
      </c>
      <c r="B6" s="20"/>
      <c r="C6" s="12"/>
      <c r="D6" s="20"/>
      <c r="E6" s="20"/>
    </row>
    <row r="7" spans="1:6">
      <c r="A7" s="3">
        <v>46059</v>
      </c>
      <c r="B7" s="20">
        <v>1</v>
      </c>
      <c r="C7" s="12">
        <v>2</v>
      </c>
      <c r="D7" s="20">
        <v>1</v>
      </c>
      <c r="E7" s="20">
        <v>4</v>
      </c>
    </row>
    <row r="8" spans="1:6">
      <c r="A8" s="3">
        <v>46062</v>
      </c>
      <c r="B8" s="20"/>
      <c r="C8" s="12"/>
      <c r="D8" s="20">
        <v>1</v>
      </c>
      <c r="E8" s="20">
        <v>1</v>
      </c>
    </row>
    <row r="9" spans="1:6">
      <c r="A9" s="3">
        <v>46063</v>
      </c>
      <c r="B9" s="20">
        <v>2</v>
      </c>
      <c r="C9" s="12"/>
      <c r="D9" s="20">
        <v>1</v>
      </c>
      <c r="E9" s="20">
        <v>3</v>
      </c>
    </row>
    <row r="10" spans="1:6">
      <c r="A10" s="3">
        <v>46064</v>
      </c>
      <c r="B10" s="20">
        <v>1</v>
      </c>
      <c r="C10" s="12">
        <v>1</v>
      </c>
      <c r="D10" s="20">
        <v>1</v>
      </c>
      <c r="E10" s="20">
        <v>3</v>
      </c>
    </row>
    <row r="11" spans="1:6">
      <c r="A11" s="3">
        <v>46065</v>
      </c>
      <c r="B11" s="20"/>
      <c r="C11" s="12"/>
      <c r="D11" s="20">
        <v>1</v>
      </c>
      <c r="E11" s="20">
        <v>1</v>
      </c>
    </row>
    <row r="12" spans="1:6">
      <c r="A12" s="3">
        <v>46066</v>
      </c>
      <c r="B12" s="20">
        <v>2</v>
      </c>
      <c r="C12" s="12"/>
      <c r="D12" s="20">
        <v>2</v>
      </c>
      <c r="E12" s="20">
        <v>4</v>
      </c>
    </row>
    <row r="13" spans="1:6">
      <c r="A13" s="3">
        <v>46069</v>
      </c>
      <c r="B13" s="20">
        <v>1</v>
      </c>
      <c r="C13" s="12"/>
      <c r="D13" s="20">
        <v>1</v>
      </c>
      <c r="E13" s="20">
        <v>2</v>
      </c>
    </row>
    <row r="14" spans="1:6">
      <c r="A14" s="3">
        <v>46070</v>
      </c>
      <c r="B14" s="20">
        <v>1</v>
      </c>
      <c r="C14" s="12">
        <v>1</v>
      </c>
      <c r="D14" s="20">
        <v>2</v>
      </c>
      <c r="E14" s="20">
        <v>4</v>
      </c>
    </row>
    <row r="15" spans="1:6">
      <c r="A15" s="3">
        <v>46071</v>
      </c>
      <c r="B15" s="20">
        <v>2</v>
      </c>
      <c r="C15" s="12">
        <v>1</v>
      </c>
      <c r="D15" s="20">
        <v>1</v>
      </c>
      <c r="E15" s="20">
        <v>4</v>
      </c>
    </row>
    <row r="16" spans="1:6">
      <c r="A16" s="3">
        <v>46072</v>
      </c>
      <c r="B16" s="20">
        <v>1</v>
      </c>
      <c r="C16" s="12">
        <v>1</v>
      </c>
      <c r="D16" s="20">
        <v>1</v>
      </c>
      <c r="E16" s="20">
        <v>3</v>
      </c>
    </row>
    <row r="17" spans="1:28">
      <c r="A17" s="3">
        <v>46073</v>
      </c>
      <c r="B17" s="20">
        <v>2</v>
      </c>
      <c r="C17" s="12">
        <v>1</v>
      </c>
      <c r="D17" s="20">
        <v>1</v>
      </c>
      <c r="E17" s="20">
        <v>4</v>
      </c>
    </row>
    <row r="18" spans="1:28">
      <c r="A18" s="3">
        <v>46076</v>
      </c>
      <c r="B18" s="20"/>
      <c r="C18" s="12">
        <v>1</v>
      </c>
      <c r="D18" s="20"/>
      <c r="E18" s="20">
        <v>1</v>
      </c>
    </row>
    <row r="19" spans="1:28">
      <c r="A19" s="3">
        <v>46077</v>
      </c>
      <c r="B19" s="20">
        <v>1</v>
      </c>
      <c r="C19" s="12"/>
      <c r="D19" s="20">
        <v>1</v>
      </c>
      <c r="E19" s="20">
        <v>2</v>
      </c>
    </row>
    <row r="20" spans="1:28">
      <c r="A20" s="3">
        <v>46078</v>
      </c>
      <c r="B20" s="20">
        <v>1</v>
      </c>
      <c r="C20" s="12"/>
      <c r="D20" s="20"/>
      <c r="E20" s="20">
        <v>1</v>
      </c>
    </row>
    <row r="21" spans="1:28">
      <c r="A21" s="3">
        <v>46079</v>
      </c>
      <c r="B21" s="20">
        <v>1</v>
      </c>
      <c r="C21" s="12">
        <v>1</v>
      </c>
      <c r="D21" s="20"/>
      <c r="E21" s="20">
        <v>2</v>
      </c>
    </row>
    <row r="22" spans="1:28" ht="15" customHeight="1">
      <c r="A22" s="3">
        <v>46080</v>
      </c>
      <c r="B22" s="20"/>
      <c r="C22" s="12">
        <v>1</v>
      </c>
      <c r="D22" s="20"/>
      <c r="E22" s="20">
        <v>1</v>
      </c>
      <c r="G22" s="67"/>
    </row>
    <row r="23" spans="1:28">
      <c r="A23" s="20" t="s">
        <v>3</v>
      </c>
      <c r="B23" s="20">
        <v>20</v>
      </c>
      <c r="C23" s="12">
        <v>11</v>
      </c>
      <c r="D23" s="20">
        <v>15</v>
      </c>
      <c r="E23" s="20"/>
    </row>
    <row r="24" spans="1:28">
      <c r="D24" s="20" t="s">
        <v>4</v>
      </c>
      <c r="E24" s="20">
        <v>46</v>
      </c>
    </row>
    <row r="27" spans="1:28" ht="159.75" customHeight="1">
      <c r="A27" s="102" t="s">
        <v>1</v>
      </c>
      <c r="B27" s="102" t="s">
        <v>5</v>
      </c>
      <c r="C27" s="11" t="s">
        <v>6</v>
      </c>
      <c r="D27" s="102" t="s">
        <v>7</v>
      </c>
      <c r="E27" s="102" t="s">
        <v>8</v>
      </c>
      <c r="F27" s="1" t="s">
        <v>275</v>
      </c>
      <c r="G27" s="1" t="s">
        <v>10</v>
      </c>
      <c r="H27" s="2" t="s">
        <v>11</v>
      </c>
      <c r="I27" s="102" t="s">
        <v>12</v>
      </c>
      <c r="J27" s="1" t="s">
        <v>13</v>
      </c>
      <c r="K27" s="102" t="s">
        <v>12</v>
      </c>
      <c r="L27" s="1" t="s">
        <v>14</v>
      </c>
      <c r="M27" s="1" t="s">
        <v>15</v>
      </c>
      <c r="N27" s="1" t="s">
        <v>16</v>
      </c>
      <c r="O27" s="1" t="s">
        <v>17</v>
      </c>
      <c r="P27" s="1" t="s">
        <v>18</v>
      </c>
      <c r="Q27" s="102" t="s">
        <v>19</v>
      </c>
      <c r="R27" s="102" t="s">
        <v>20</v>
      </c>
      <c r="S27" s="102" t="s">
        <v>21</v>
      </c>
      <c r="T27" s="1" t="s">
        <v>22</v>
      </c>
      <c r="U27" s="1" t="s">
        <v>23</v>
      </c>
      <c r="V27" s="1" t="s">
        <v>24</v>
      </c>
      <c r="W27" s="1" t="s">
        <v>25</v>
      </c>
      <c r="X27" s="1" t="s">
        <v>276</v>
      </c>
      <c r="Y27" s="1" t="s">
        <v>26</v>
      </c>
      <c r="Z27" s="1" t="s">
        <v>27</v>
      </c>
      <c r="AA27" s="1" t="s">
        <v>28</v>
      </c>
      <c r="AB27" s="1" t="s">
        <v>29</v>
      </c>
    </row>
    <row r="28" spans="1:28">
      <c r="A28" s="3">
        <v>46055</v>
      </c>
      <c r="B28" s="20" t="s">
        <v>277</v>
      </c>
      <c r="C28" s="12">
        <v>9790808608</v>
      </c>
      <c r="D28" s="20" t="s">
        <v>278</v>
      </c>
      <c r="E28" s="21" t="s">
        <v>48</v>
      </c>
      <c r="F28" s="21" t="s">
        <v>97</v>
      </c>
      <c r="G28" s="20" t="s">
        <v>33</v>
      </c>
      <c r="H28" s="20" t="s">
        <v>36</v>
      </c>
      <c r="I28" s="20"/>
      <c r="J28" s="20" t="s">
        <v>36</v>
      </c>
      <c r="K28" s="20"/>
      <c r="L28" s="20" t="s">
        <v>33</v>
      </c>
      <c r="M28" s="20" t="s">
        <v>33</v>
      </c>
      <c r="N28" s="20" t="s">
        <v>33</v>
      </c>
      <c r="O28" s="4" t="s">
        <v>33</v>
      </c>
      <c r="P28" s="4" t="s">
        <v>33</v>
      </c>
      <c r="Q28" s="20"/>
      <c r="R28" s="20" t="s">
        <v>279</v>
      </c>
      <c r="S28" s="20" t="s">
        <v>280</v>
      </c>
      <c r="T28" s="4" t="s">
        <v>40</v>
      </c>
      <c r="U28" s="20"/>
      <c r="V28" s="20"/>
      <c r="W28" s="20"/>
      <c r="X28" s="20"/>
      <c r="Y28" s="20"/>
      <c r="Z28" s="20"/>
      <c r="AA28" s="20" t="s">
        <v>33</v>
      </c>
      <c r="AB28" s="20" t="s">
        <v>33</v>
      </c>
    </row>
    <row r="29" spans="1:28">
      <c r="A29" s="3">
        <v>46055</v>
      </c>
      <c r="B29" s="20" t="s">
        <v>281</v>
      </c>
      <c r="C29" s="12">
        <v>9884668490</v>
      </c>
      <c r="D29" s="20" t="s">
        <v>282</v>
      </c>
      <c r="E29" s="21" t="s">
        <v>25</v>
      </c>
      <c r="F29" s="21" t="s">
        <v>33</v>
      </c>
      <c r="G29" s="20" t="s">
        <v>33</v>
      </c>
      <c r="H29" s="20" t="s">
        <v>36</v>
      </c>
      <c r="I29" s="20"/>
      <c r="J29" s="20" t="s">
        <v>36</v>
      </c>
      <c r="K29" s="20"/>
      <c r="L29" s="20" t="s">
        <v>33</v>
      </c>
      <c r="M29" s="20" t="s">
        <v>33</v>
      </c>
      <c r="N29" s="20" t="s">
        <v>33</v>
      </c>
      <c r="O29" s="4" t="s">
        <v>33</v>
      </c>
      <c r="P29" s="4" t="s">
        <v>33</v>
      </c>
      <c r="Q29" s="20"/>
      <c r="R29" s="20"/>
      <c r="S29" s="20" t="s">
        <v>283</v>
      </c>
      <c r="T29" s="4" t="s">
        <v>40</v>
      </c>
      <c r="U29" s="20"/>
      <c r="V29" s="20"/>
      <c r="W29" s="20"/>
      <c r="X29" s="20"/>
      <c r="Y29" s="20"/>
      <c r="Z29" s="20"/>
      <c r="AA29" s="20"/>
      <c r="AB29" s="20"/>
    </row>
    <row r="30" spans="1:28">
      <c r="A30" s="3">
        <v>46056</v>
      </c>
      <c r="B30" s="20" t="s">
        <v>284</v>
      </c>
      <c r="C30" s="12">
        <v>9840145396</v>
      </c>
      <c r="D30" s="20" t="s">
        <v>285</v>
      </c>
      <c r="E30" s="21" t="s">
        <v>25</v>
      </c>
      <c r="F30" s="21" t="s">
        <v>33</v>
      </c>
      <c r="G30" s="20" t="s">
        <v>33</v>
      </c>
      <c r="H30" s="20" t="s">
        <v>36</v>
      </c>
      <c r="I30" s="20"/>
      <c r="J30" s="20" t="s">
        <v>36</v>
      </c>
      <c r="K30" s="20"/>
      <c r="L30" s="20" t="s">
        <v>33</v>
      </c>
      <c r="M30" s="20" t="s">
        <v>33</v>
      </c>
      <c r="N30" s="20" t="s">
        <v>33</v>
      </c>
      <c r="O30" s="4" t="s">
        <v>33</v>
      </c>
      <c r="P30" s="4" t="s">
        <v>33</v>
      </c>
      <c r="Q30" s="20"/>
      <c r="R30" s="20" t="s">
        <v>286</v>
      </c>
      <c r="S30" s="20" t="s">
        <v>287</v>
      </c>
      <c r="T30" s="4" t="s">
        <v>40</v>
      </c>
      <c r="U30" s="20" t="s">
        <v>33</v>
      </c>
      <c r="V30" s="20"/>
      <c r="W30" s="20" t="s">
        <v>33</v>
      </c>
      <c r="X30" s="20"/>
      <c r="Y30" s="20"/>
      <c r="Z30" s="20" t="s">
        <v>33</v>
      </c>
      <c r="AA30" s="20"/>
      <c r="AB30" s="20" t="s">
        <v>33</v>
      </c>
    </row>
    <row r="31" spans="1:28">
      <c r="A31" s="3">
        <v>46056</v>
      </c>
      <c r="B31" s="20" t="s">
        <v>30</v>
      </c>
      <c r="C31" s="12">
        <v>8105047843</v>
      </c>
      <c r="D31" s="20" t="s">
        <v>31</v>
      </c>
      <c r="E31" s="21" t="s">
        <v>288</v>
      </c>
      <c r="F31" s="21" t="s">
        <v>33</v>
      </c>
      <c r="G31" s="61" t="s">
        <v>37</v>
      </c>
      <c r="H31" s="20" t="s">
        <v>36</v>
      </c>
      <c r="I31" s="20"/>
      <c r="J31" s="20" t="s">
        <v>36</v>
      </c>
      <c r="K31" s="20"/>
      <c r="L31" s="20" t="s">
        <v>33</v>
      </c>
      <c r="M31" s="20" t="s">
        <v>33</v>
      </c>
      <c r="N31" s="20" t="s">
        <v>33</v>
      </c>
      <c r="O31" s="4" t="s">
        <v>33</v>
      </c>
      <c r="P31" s="4" t="s">
        <v>33</v>
      </c>
      <c r="Q31" s="20"/>
      <c r="R31" s="20" t="s">
        <v>38</v>
      </c>
      <c r="S31" s="20" t="s">
        <v>289</v>
      </c>
      <c r="T31" s="7" t="s">
        <v>40</v>
      </c>
      <c r="U31" s="20"/>
      <c r="V31" s="20"/>
      <c r="W31" s="20"/>
      <c r="X31" s="20"/>
      <c r="Y31" s="20"/>
      <c r="Z31" s="20"/>
      <c r="AA31" s="20"/>
      <c r="AB31" s="20"/>
    </row>
    <row r="32" spans="1:28">
      <c r="A32" s="3">
        <v>46057</v>
      </c>
      <c r="B32" s="20" t="s">
        <v>290</v>
      </c>
      <c r="C32" s="12">
        <v>9019944841</v>
      </c>
      <c r="D32" s="20" t="s">
        <v>291</v>
      </c>
      <c r="E32" s="21" t="s">
        <v>48</v>
      </c>
      <c r="F32" s="20" t="s">
        <v>33</v>
      </c>
      <c r="G32" s="20" t="s">
        <v>33</v>
      </c>
      <c r="H32" s="20" t="s">
        <v>34</v>
      </c>
      <c r="I32" s="8" t="s">
        <v>292</v>
      </c>
      <c r="J32" s="20" t="s">
        <v>34</v>
      </c>
      <c r="K32" s="15" t="s">
        <v>293</v>
      </c>
      <c r="L32" s="20" t="s">
        <v>33</v>
      </c>
      <c r="M32" s="20" t="s">
        <v>33</v>
      </c>
      <c r="N32" s="20" t="s">
        <v>33</v>
      </c>
      <c r="O32" s="4" t="s">
        <v>33</v>
      </c>
      <c r="P32" s="4" t="s">
        <v>33</v>
      </c>
      <c r="Q32" s="8" t="s">
        <v>294</v>
      </c>
      <c r="R32" s="20" t="s">
        <v>295</v>
      </c>
      <c r="S32" s="20"/>
      <c r="T32" s="20"/>
      <c r="U32" s="20"/>
      <c r="V32" s="20"/>
      <c r="W32" s="20"/>
      <c r="X32" s="20"/>
      <c r="Y32" s="20"/>
      <c r="Z32" s="20"/>
      <c r="AA32" s="20"/>
      <c r="AB32" s="20"/>
    </row>
    <row r="33" spans="1:28">
      <c r="A33" s="3">
        <v>46057</v>
      </c>
      <c r="B33" s="20" t="s">
        <v>296</v>
      </c>
      <c r="C33" s="12">
        <v>9003724826</v>
      </c>
      <c r="D33" s="20" t="s">
        <v>297</v>
      </c>
      <c r="E33" s="21" t="s">
        <v>246</v>
      </c>
      <c r="F33" s="20" t="s">
        <v>62</v>
      </c>
      <c r="G33" s="20" t="s">
        <v>33</v>
      </c>
      <c r="H33" s="20" t="s">
        <v>36</v>
      </c>
      <c r="I33" s="20"/>
      <c r="J33" s="20" t="s">
        <v>36</v>
      </c>
      <c r="K33" s="20"/>
      <c r="L33" s="20" t="s">
        <v>33</v>
      </c>
      <c r="M33" s="20" t="s">
        <v>33</v>
      </c>
      <c r="N33" s="20" t="s">
        <v>33</v>
      </c>
      <c r="O33" s="4" t="s">
        <v>33</v>
      </c>
      <c r="P33" s="4" t="s">
        <v>33</v>
      </c>
      <c r="Q33" s="20"/>
      <c r="R33" s="20" t="s">
        <v>298</v>
      </c>
      <c r="S33" s="20" t="s">
        <v>299</v>
      </c>
      <c r="T33" s="4" t="s">
        <v>40</v>
      </c>
      <c r="U33" s="20"/>
      <c r="V33" s="20"/>
      <c r="W33" s="20"/>
      <c r="X33" s="20" t="s">
        <v>300</v>
      </c>
      <c r="Y33" s="20"/>
      <c r="Z33" s="20"/>
      <c r="AA33" s="20"/>
      <c r="AB33" s="20"/>
    </row>
    <row r="34" spans="1:28">
      <c r="A34" s="3">
        <v>46059</v>
      </c>
      <c r="B34" s="20" t="s">
        <v>301</v>
      </c>
      <c r="C34" s="12">
        <v>9790945665</v>
      </c>
      <c r="D34" s="20" t="s">
        <v>302</v>
      </c>
      <c r="E34" s="21" t="s">
        <v>25</v>
      </c>
      <c r="F34" s="20" t="s">
        <v>33</v>
      </c>
      <c r="G34" s="20" t="s">
        <v>33</v>
      </c>
      <c r="H34" s="20" t="s">
        <v>34</v>
      </c>
      <c r="I34" s="8" t="s">
        <v>303</v>
      </c>
      <c r="J34" s="20" t="s">
        <v>34</v>
      </c>
      <c r="K34" s="20" t="s">
        <v>304</v>
      </c>
      <c r="L34" s="20" t="s">
        <v>33</v>
      </c>
      <c r="M34" s="20" t="s">
        <v>33</v>
      </c>
      <c r="N34" s="20" t="s">
        <v>33</v>
      </c>
      <c r="O34" s="4" t="s">
        <v>33</v>
      </c>
      <c r="P34" s="4" t="s">
        <v>33</v>
      </c>
      <c r="Q34" s="8" t="s">
        <v>305</v>
      </c>
      <c r="R34" s="20" t="s">
        <v>306</v>
      </c>
      <c r="S34" s="20" t="s">
        <v>307</v>
      </c>
      <c r="T34" s="20" t="s">
        <v>33</v>
      </c>
      <c r="U34" s="20"/>
      <c r="V34" s="20"/>
      <c r="W34" s="20"/>
      <c r="X34" s="20"/>
      <c r="Y34" s="20"/>
      <c r="Z34" s="20"/>
      <c r="AA34" s="20"/>
      <c r="AB34" s="20"/>
    </row>
    <row r="35" spans="1:28">
      <c r="A35" s="3">
        <v>46059</v>
      </c>
      <c r="B35" s="20" t="s">
        <v>308</v>
      </c>
      <c r="C35" s="14">
        <v>9790906967</v>
      </c>
      <c r="D35" s="20" t="s">
        <v>309</v>
      </c>
      <c r="E35" s="21" t="s">
        <v>48</v>
      </c>
      <c r="F35" s="20" t="s">
        <v>33</v>
      </c>
      <c r="G35" s="20" t="s">
        <v>33</v>
      </c>
      <c r="H35" s="20" t="s">
        <v>36</v>
      </c>
      <c r="I35" s="20"/>
      <c r="J35" s="20" t="s">
        <v>36</v>
      </c>
      <c r="K35" s="20"/>
      <c r="L35" s="20" t="s">
        <v>33</v>
      </c>
      <c r="M35" s="20" t="s">
        <v>33</v>
      </c>
      <c r="N35" s="20" t="s">
        <v>33</v>
      </c>
      <c r="O35" s="4" t="s">
        <v>33</v>
      </c>
      <c r="P35" s="4" t="s">
        <v>33</v>
      </c>
      <c r="Q35" s="20"/>
      <c r="R35" s="20" t="s">
        <v>310</v>
      </c>
      <c r="S35" s="20" t="s">
        <v>311</v>
      </c>
      <c r="T35" s="4" t="s">
        <v>40</v>
      </c>
      <c r="U35" s="20"/>
      <c r="V35" s="20"/>
      <c r="W35" s="20"/>
      <c r="X35" s="20"/>
      <c r="Y35" s="20"/>
      <c r="Z35" s="20"/>
      <c r="AA35" s="20"/>
      <c r="AB35" s="20"/>
    </row>
    <row r="36" spans="1:28">
      <c r="A36" s="3">
        <v>46059</v>
      </c>
      <c r="B36" s="20" t="s">
        <v>30</v>
      </c>
      <c r="C36" s="12">
        <v>8105047843</v>
      </c>
      <c r="D36" s="20" t="s">
        <v>31</v>
      </c>
      <c r="E36" s="21" t="s">
        <v>288</v>
      </c>
      <c r="F36" s="20" t="s">
        <v>62</v>
      </c>
      <c r="G36" s="61" t="s">
        <v>37</v>
      </c>
      <c r="H36" s="20" t="s">
        <v>34</v>
      </c>
      <c r="I36" s="20"/>
      <c r="J36" s="20" t="s">
        <v>34</v>
      </c>
      <c r="K36" s="20" t="s">
        <v>304</v>
      </c>
      <c r="L36" s="20" t="s">
        <v>37</v>
      </c>
      <c r="M36" s="20" t="s">
        <v>33</v>
      </c>
      <c r="N36" s="20" t="s">
        <v>33</v>
      </c>
      <c r="O36" s="4" t="s">
        <v>33</v>
      </c>
      <c r="P36" s="4" t="s">
        <v>33</v>
      </c>
      <c r="Q36" s="20"/>
      <c r="R36" s="20" t="s">
        <v>38</v>
      </c>
      <c r="S36" s="20" t="s">
        <v>289</v>
      </c>
      <c r="T36" s="7" t="s">
        <v>40</v>
      </c>
      <c r="U36" s="20"/>
      <c r="V36" s="20"/>
      <c r="W36" s="20"/>
      <c r="X36" s="20"/>
      <c r="Y36" s="20"/>
      <c r="Z36" s="20"/>
      <c r="AA36" s="20"/>
      <c r="AB36" s="20"/>
    </row>
    <row r="37" spans="1:28">
      <c r="A37" s="3">
        <v>46059</v>
      </c>
      <c r="B37" s="20" t="s">
        <v>312</v>
      </c>
      <c r="C37" s="12">
        <v>8825503298</v>
      </c>
      <c r="D37" s="20" t="s">
        <v>313</v>
      </c>
      <c r="E37" s="21" t="s">
        <v>48</v>
      </c>
      <c r="F37" s="20" t="s">
        <v>33</v>
      </c>
      <c r="G37" s="20" t="s">
        <v>33</v>
      </c>
      <c r="H37" s="20" t="s">
        <v>34</v>
      </c>
      <c r="I37" s="20" t="s">
        <v>314</v>
      </c>
      <c r="J37" s="20" t="s">
        <v>34</v>
      </c>
      <c r="K37" s="20" t="s">
        <v>304</v>
      </c>
      <c r="L37" s="20" t="s">
        <v>33</v>
      </c>
      <c r="M37" s="20" t="s">
        <v>33</v>
      </c>
      <c r="N37" s="20" t="s">
        <v>33</v>
      </c>
      <c r="O37" s="4" t="s">
        <v>33</v>
      </c>
      <c r="P37" s="4" t="s">
        <v>33</v>
      </c>
      <c r="Q37" s="8" t="s">
        <v>315</v>
      </c>
      <c r="R37" s="8" t="s">
        <v>316</v>
      </c>
      <c r="S37" s="20"/>
      <c r="T37" s="20"/>
      <c r="U37" s="20"/>
      <c r="V37" s="20"/>
      <c r="W37" s="20"/>
      <c r="X37" s="20"/>
      <c r="Y37" s="20"/>
      <c r="Z37" s="20"/>
      <c r="AA37" s="20"/>
      <c r="AB37" s="20"/>
    </row>
    <row r="38" spans="1:28">
      <c r="A38" s="3">
        <v>46062</v>
      </c>
      <c r="B38" s="20" t="s">
        <v>317</v>
      </c>
      <c r="C38" s="12">
        <v>9962549454</v>
      </c>
      <c r="D38" s="20" t="s">
        <v>318</v>
      </c>
      <c r="E38" s="21" t="s">
        <v>319</v>
      </c>
      <c r="F38" s="20" t="s">
        <v>62</v>
      </c>
      <c r="G38" s="20" t="s">
        <v>33</v>
      </c>
      <c r="H38" s="20" t="s">
        <v>36</v>
      </c>
      <c r="I38" s="20"/>
      <c r="J38" s="20" t="s">
        <v>36</v>
      </c>
      <c r="K38" s="20"/>
      <c r="L38" s="20" t="s">
        <v>33</v>
      </c>
      <c r="M38" s="20" t="s">
        <v>33</v>
      </c>
      <c r="N38" s="20" t="s">
        <v>33</v>
      </c>
      <c r="O38" s="4" t="s">
        <v>33</v>
      </c>
      <c r="P38" s="4" t="s">
        <v>33</v>
      </c>
      <c r="Q38" s="20"/>
      <c r="R38" s="20" t="s">
        <v>320</v>
      </c>
      <c r="S38" s="20" t="s">
        <v>321</v>
      </c>
      <c r="T38" s="4" t="s">
        <v>40</v>
      </c>
      <c r="U38" s="20"/>
      <c r="V38" s="20" t="s">
        <v>33</v>
      </c>
      <c r="W38" s="20"/>
      <c r="X38" s="20"/>
      <c r="Y38" s="20"/>
      <c r="Z38" s="20"/>
      <c r="AA38" s="20" t="s">
        <v>33</v>
      </c>
      <c r="AB38" s="20"/>
    </row>
    <row r="39" spans="1:28">
      <c r="A39" s="3">
        <v>46063</v>
      </c>
      <c r="B39" s="20" t="s">
        <v>322</v>
      </c>
      <c r="C39" s="12">
        <v>8939555757</v>
      </c>
      <c r="D39" s="20" t="s">
        <v>323</v>
      </c>
      <c r="E39" s="21" t="s">
        <v>25</v>
      </c>
      <c r="F39" s="20" t="s">
        <v>33</v>
      </c>
      <c r="G39" s="20" t="s">
        <v>33</v>
      </c>
      <c r="H39" s="20" t="s">
        <v>36</v>
      </c>
      <c r="I39" s="20"/>
      <c r="J39" s="20" t="s">
        <v>36</v>
      </c>
      <c r="K39" s="20"/>
      <c r="L39" s="20" t="s">
        <v>37</v>
      </c>
      <c r="M39" s="20" t="s">
        <v>33</v>
      </c>
      <c r="N39" s="20" t="s">
        <v>33</v>
      </c>
      <c r="O39" s="4" t="s">
        <v>33</v>
      </c>
      <c r="P39" s="4" t="s">
        <v>33</v>
      </c>
      <c r="Q39" s="20"/>
      <c r="R39" s="20"/>
      <c r="S39" s="20"/>
      <c r="T39" s="20"/>
      <c r="U39" s="20"/>
      <c r="V39" s="20"/>
      <c r="W39" s="20"/>
      <c r="X39" s="20"/>
      <c r="Y39" s="20"/>
      <c r="Z39" s="20"/>
      <c r="AA39" s="20"/>
      <c r="AB39" s="20"/>
    </row>
    <row r="40" spans="1:28">
      <c r="A40" s="3">
        <v>46063</v>
      </c>
      <c r="B40" s="20" t="s">
        <v>324</v>
      </c>
      <c r="C40" s="12">
        <v>9159710897</v>
      </c>
      <c r="D40" s="20" t="s">
        <v>325</v>
      </c>
      <c r="E40" s="21" t="s">
        <v>48</v>
      </c>
      <c r="F40" s="20" t="s">
        <v>33</v>
      </c>
      <c r="G40" s="61" t="s">
        <v>37</v>
      </c>
      <c r="H40" s="20" t="s">
        <v>34</v>
      </c>
      <c r="I40" s="8" t="s">
        <v>326</v>
      </c>
      <c r="J40" s="20" t="s">
        <v>34</v>
      </c>
      <c r="K40" s="20" t="s">
        <v>304</v>
      </c>
      <c r="L40" s="20" t="s">
        <v>33</v>
      </c>
      <c r="M40" s="20" t="s">
        <v>33</v>
      </c>
      <c r="N40" s="20" t="s">
        <v>33</v>
      </c>
      <c r="O40" s="4" t="s">
        <v>33</v>
      </c>
      <c r="P40" s="4" t="s">
        <v>33</v>
      </c>
      <c r="Q40" s="8" t="s">
        <v>327</v>
      </c>
      <c r="R40" s="8" t="s">
        <v>328</v>
      </c>
      <c r="S40" s="20"/>
      <c r="T40" s="20"/>
      <c r="U40" s="20"/>
      <c r="V40" s="20"/>
      <c r="W40" s="20"/>
      <c r="X40" s="20"/>
      <c r="Y40" s="20"/>
      <c r="Z40" s="20"/>
      <c r="AA40" s="20"/>
      <c r="AB40" s="20"/>
    </row>
    <row r="41" spans="1:28">
      <c r="A41" s="3">
        <v>46063</v>
      </c>
      <c r="B41" s="20" t="s">
        <v>329</v>
      </c>
      <c r="C41" s="12">
        <v>8190913210</v>
      </c>
      <c r="D41" s="20" t="s">
        <v>330</v>
      </c>
      <c r="E41" s="21" t="s">
        <v>48</v>
      </c>
      <c r="F41" s="20" t="s">
        <v>33</v>
      </c>
      <c r="G41" s="20" t="s">
        <v>33</v>
      </c>
      <c r="H41" s="20" t="s">
        <v>36</v>
      </c>
      <c r="I41" s="20"/>
      <c r="J41" s="20" t="s">
        <v>36</v>
      </c>
      <c r="K41" s="20"/>
      <c r="L41" s="20" t="s">
        <v>33</v>
      </c>
      <c r="M41" s="20" t="s">
        <v>33</v>
      </c>
      <c r="N41" s="20" t="s">
        <v>33</v>
      </c>
      <c r="O41" s="4" t="s">
        <v>33</v>
      </c>
      <c r="P41" s="4" t="s">
        <v>33</v>
      </c>
      <c r="Q41" s="20"/>
      <c r="R41" s="20"/>
      <c r="S41" s="20" t="s">
        <v>331</v>
      </c>
      <c r="T41" s="4" t="s">
        <v>40</v>
      </c>
      <c r="U41" s="20"/>
      <c r="V41" s="20"/>
      <c r="W41" s="20"/>
      <c r="X41" s="20"/>
      <c r="Y41" s="20"/>
      <c r="Z41" s="20"/>
      <c r="AA41" s="20"/>
      <c r="AB41" s="20"/>
    </row>
    <row r="42" spans="1:28">
      <c r="A42" s="3">
        <v>46064</v>
      </c>
      <c r="B42" s="20" t="s">
        <v>332</v>
      </c>
      <c r="C42" s="12">
        <v>9962115121</v>
      </c>
      <c r="D42" s="20" t="s">
        <v>333</v>
      </c>
      <c r="E42" s="21" t="s">
        <v>48</v>
      </c>
      <c r="F42" s="20" t="s">
        <v>33</v>
      </c>
      <c r="G42" s="20" t="s">
        <v>33</v>
      </c>
      <c r="H42" s="20" t="s">
        <v>36</v>
      </c>
      <c r="I42" s="20"/>
      <c r="J42" s="20" t="s">
        <v>36</v>
      </c>
      <c r="K42" s="20"/>
      <c r="L42" s="20" t="s">
        <v>33</v>
      </c>
      <c r="M42" s="20" t="s">
        <v>33</v>
      </c>
      <c r="N42" s="20" t="s">
        <v>33</v>
      </c>
      <c r="O42" s="4" t="s">
        <v>33</v>
      </c>
      <c r="P42" s="4" t="s">
        <v>33</v>
      </c>
      <c r="Q42" s="20"/>
      <c r="R42" s="20"/>
      <c r="S42" s="20" t="s">
        <v>334</v>
      </c>
      <c r="T42" s="4" t="s">
        <v>40</v>
      </c>
      <c r="U42" s="20"/>
      <c r="V42" s="20"/>
      <c r="W42" s="20"/>
      <c r="X42" s="20"/>
      <c r="Y42" s="20"/>
      <c r="Z42" s="20"/>
      <c r="AA42" s="20"/>
      <c r="AB42" s="20"/>
    </row>
    <row r="43" spans="1:28">
      <c r="A43" s="3">
        <v>46064</v>
      </c>
      <c r="B43" s="20" t="s">
        <v>335</v>
      </c>
      <c r="C43" s="12">
        <v>7358503387</v>
      </c>
      <c r="D43" s="20" t="s">
        <v>227</v>
      </c>
      <c r="E43" s="21" t="s">
        <v>48</v>
      </c>
      <c r="F43" s="20" t="s">
        <v>62</v>
      </c>
      <c r="G43" s="20" t="s">
        <v>33</v>
      </c>
      <c r="H43" s="20" t="s">
        <v>33</v>
      </c>
      <c r="I43" s="20" t="s">
        <v>336</v>
      </c>
      <c r="J43" s="20" t="s">
        <v>34</v>
      </c>
      <c r="K43" s="20" t="s">
        <v>304</v>
      </c>
      <c r="L43" s="20" t="s">
        <v>33</v>
      </c>
      <c r="M43" s="20" t="s">
        <v>33</v>
      </c>
      <c r="N43" s="20" t="s">
        <v>33</v>
      </c>
      <c r="O43" s="4" t="s">
        <v>33</v>
      </c>
      <c r="P43" s="4" t="s">
        <v>33</v>
      </c>
      <c r="Q43" s="20" t="s">
        <v>337</v>
      </c>
      <c r="R43" s="20" t="s">
        <v>228</v>
      </c>
      <c r="S43" s="20" t="s">
        <v>338</v>
      </c>
      <c r="T43" s="7" t="s">
        <v>40</v>
      </c>
      <c r="U43" s="20"/>
      <c r="V43" s="20"/>
      <c r="W43" s="20"/>
      <c r="X43" s="20"/>
      <c r="Y43" s="20"/>
      <c r="Z43" s="20" t="s">
        <v>33</v>
      </c>
      <c r="AA43" s="20"/>
      <c r="AB43" s="20"/>
    </row>
    <row r="44" spans="1:28">
      <c r="A44" s="3">
        <v>46064</v>
      </c>
      <c r="B44" s="20" t="s">
        <v>339</v>
      </c>
      <c r="C44" s="12">
        <v>9080066138</v>
      </c>
      <c r="D44" s="20" t="s">
        <v>340</v>
      </c>
      <c r="E44" s="21" t="s">
        <v>48</v>
      </c>
      <c r="F44" s="20" t="s">
        <v>33</v>
      </c>
      <c r="G44" s="20" t="s">
        <v>33</v>
      </c>
      <c r="H44" s="20" t="s">
        <v>33</v>
      </c>
      <c r="I44" s="20" t="s">
        <v>67</v>
      </c>
      <c r="J44" s="20" t="s">
        <v>33</v>
      </c>
      <c r="K44" s="20" t="s">
        <v>341</v>
      </c>
      <c r="L44" s="20" t="s">
        <v>37</v>
      </c>
      <c r="M44" s="20" t="s">
        <v>33</v>
      </c>
      <c r="N44" s="20" t="s">
        <v>33</v>
      </c>
      <c r="O44" s="4" t="s">
        <v>33</v>
      </c>
      <c r="P44" s="4" t="s">
        <v>33</v>
      </c>
      <c r="Q44" s="20" t="s">
        <v>342</v>
      </c>
      <c r="R44" s="20"/>
      <c r="S44" s="20" t="s">
        <v>343</v>
      </c>
      <c r="T44" s="4" t="s">
        <v>40</v>
      </c>
      <c r="U44" s="20"/>
      <c r="V44" s="20"/>
      <c r="W44" s="20"/>
      <c r="X44" s="20"/>
      <c r="Y44" s="20"/>
      <c r="Z44" s="20"/>
      <c r="AA44" s="20"/>
      <c r="AB44" s="20"/>
    </row>
    <row r="45" spans="1:28">
      <c r="A45" s="3">
        <v>46065</v>
      </c>
      <c r="B45" s="20" t="s">
        <v>344</v>
      </c>
      <c r="C45" s="12">
        <v>7595088252</v>
      </c>
      <c r="D45" s="20" t="s">
        <v>345</v>
      </c>
      <c r="E45" s="21" t="s">
        <v>48</v>
      </c>
      <c r="F45" s="20" t="s">
        <v>33</v>
      </c>
      <c r="G45" s="61" t="s">
        <v>37</v>
      </c>
      <c r="H45" s="20" t="s">
        <v>36</v>
      </c>
      <c r="I45" s="20"/>
      <c r="J45" s="20" t="s">
        <v>36</v>
      </c>
      <c r="K45" s="20"/>
      <c r="L45" s="20" t="s">
        <v>33</v>
      </c>
      <c r="M45" s="20" t="s">
        <v>33</v>
      </c>
      <c r="N45" s="20" t="s">
        <v>33</v>
      </c>
      <c r="O45" s="4" t="s">
        <v>33</v>
      </c>
      <c r="P45" s="4" t="s">
        <v>33</v>
      </c>
      <c r="Q45" s="20"/>
      <c r="R45" s="20" t="s">
        <v>346</v>
      </c>
      <c r="S45" s="20" t="s">
        <v>347</v>
      </c>
      <c r="T45" s="7" t="s">
        <v>40</v>
      </c>
      <c r="U45" s="20" t="s">
        <v>300</v>
      </c>
      <c r="V45" s="20"/>
      <c r="W45" s="20"/>
      <c r="X45" s="20"/>
      <c r="Y45" s="20"/>
      <c r="Z45" s="20" t="s">
        <v>300</v>
      </c>
      <c r="AA45" s="20"/>
      <c r="AB45" s="20"/>
    </row>
    <row r="46" spans="1:28">
      <c r="A46" s="3">
        <v>46066</v>
      </c>
      <c r="B46" s="20" t="s">
        <v>160</v>
      </c>
      <c r="C46" s="12">
        <v>9840668196</v>
      </c>
      <c r="D46" s="20" t="s">
        <v>161</v>
      </c>
      <c r="E46" s="21" t="s">
        <v>48</v>
      </c>
      <c r="F46" s="20" t="s">
        <v>62</v>
      </c>
      <c r="G46" s="61" t="s">
        <v>37</v>
      </c>
      <c r="H46" s="20" t="s">
        <v>36</v>
      </c>
      <c r="I46" s="20"/>
      <c r="J46" s="20" t="s">
        <v>36</v>
      </c>
      <c r="K46" s="20"/>
      <c r="L46" s="20" t="s">
        <v>33</v>
      </c>
      <c r="M46" s="20" t="s">
        <v>33</v>
      </c>
      <c r="N46" s="20" t="s">
        <v>33</v>
      </c>
      <c r="O46" s="4" t="s">
        <v>33</v>
      </c>
      <c r="P46" s="4" t="s">
        <v>33</v>
      </c>
      <c r="Q46" s="20"/>
      <c r="R46" s="20"/>
      <c r="S46" s="20" t="s">
        <v>164</v>
      </c>
      <c r="T46" s="20" t="s">
        <v>33</v>
      </c>
      <c r="U46" s="20"/>
      <c r="V46" s="20"/>
      <c r="W46" s="20"/>
      <c r="X46" s="20"/>
      <c r="Y46" s="20"/>
      <c r="Z46" s="20"/>
      <c r="AA46" s="20"/>
      <c r="AB46" s="20"/>
    </row>
    <row r="47" spans="1:28">
      <c r="A47" s="3">
        <v>46066</v>
      </c>
      <c r="B47" s="20" t="s">
        <v>332</v>
      </c>
      <c r="C47" s="12">
        <v>9962115121</v>
      </c>
      <c r="D47" s="20" t="s">
        <v>333</v>
      </c>
      <c r="E47" s="21" t="s">
        <v>48</v>
      </c>
      <c r="F47" s="20" t="s">
        <v>62</v>
      </c>
      <c r="G47" s="20" t="s">
        <v>33</v>
      </c>
      <c r="H47" s="20" t="s">
        <v>36</v>
      </c>
      <c r="I47" s="20"/>
      <c r="J47" s="20" t="s">
        <v>36</v>
      </c>
      <c r="K47" s="20"/>
      <c r="L47" s="20" t="s">
        <v>33</v>
      </c>
      <c r="M47" s="20" t="s">
        <v>33</v>
      </c>
      <c r="N47" s="20" t="s">
        <v>33</v>
      </c>
      <c r="O47" s="4" t="s">
        <v>33</v>
      </c>
      <c r="P47" s="4" t="s">
        <v>33</v>
      </c>
      <c r="Q47" s="20"/>
      <c r="R47" s="20"/>
      <c r="S47" s="20" t="s">
        <v>334</v>
      </c>
      <c r="T47" s="4" t="s">
        <v>40</v>
      </c>
      <c r="U47" s="20"/>
      <c r="V47" s="20"/>
      <c r="W47" s="20"/>
      <c r="X47" s="20"/>
      <c r="Y47" s="20"/>
      <c r="Z47" s="20"/>
      <c r="AA47" s="20"/>
      <c r="AB47" s="20"/>
    </row>
    <row r="48" spans="1:28">
      <c r="A48" s="3">
        <v>46066</v>
      </c>
      <c r="B48" s="20" t="s">
        <v>348</v>
      </c>
      <c r="C48" s="12">
        <v>9962003278</v>
      </c>
      <c r="D48" s="20" t="s">
        <v>349</v>
      </c>
      <c r="E48" s="21" t="s">
        <v>25</v>
      </c>
      <c r="F48" s="20" t="s">
        <v>33</v>
      </c>
      <c r="G48" s="20" t="s">
        <v>33</v>
      </c>
      <c r="H48" s="20" t="s">
        <v>33</v>
      </c>
      <c r="I48" s="8" t="s">
        <v>350</v>
      </c>
      <c r="J48" s="20" t="s">
        <v>33</v>
      </c>
      <c r="K48" s="20" t="s">
        <v>351</v>
      </c>
      <c r="L48" s="20" t="s">
        <v>33</v>
      </c>
      <c r="M48" s="20" t="s">
        <v>33</v>
      </c>
      <c r="N48" s="20" t="s">
        <v>33</v>
      </c>
      <c r="O48" s="4" t="s">
        <v>33</v>
      </c>
      <c r="P48" s="4" t="s">
        <v>33</v>
      </c>
      <c r="Q48" s="20" t="s">
        <v>352</v>
      </c>
      <c r="R48" s="8" t="s">
        <v>353</v>
      </c>
      <c r="S48" s="20" t="s">
        <v>354</v>
      </c>
      <c r="T48" s="20" t="s">
        <v>33</v>
      </c>
      <c r="U48" s="20" t="s">
        <v>33</v>
      </c>
      <c r="V48" s="20" t="s">
        <v>33</v>
      </c>
      <c r="W48" s="20" t="s">
        <v>33</v>
      </c>
      <c r="X48" s="20"/>
      <c r="Y48" s="20"/>
      <c r="Z48" s="20"/>
      <c r="AA48" s="20"/>
      <c r="AB48" s="20"/>
    </row>
    <row r="49" spans="1:28">
      <c r="A49" s="3">
        <v>46066</v>
      </c>
      <c r="B49" s="20" t="s">
        <v>355</v>
      </c>
      <c r="C49" s="12">
        <v>6384546375</v>
      </c>
      <c r="D49" s="20" t="s">
        <v>356</v>
      </c>
      <c r="E49" s="21" t="s">
        <v>86</v>
      </c>
      <c r="F49" s="20" t="s">
        <v>33</v>
      </c>
      <c r="G49" s="20" t="s">
        <v>33</v>
      </c>
      <c r="H49" s="20" t="s">
        <v>36</v>
      </c>
      <c r="I49" s="20"/>
      <c r="J49" s="20" t="s">
        <v>33</v>
      </c>
      <c r="K49" s="20" t="s">
        <v>304</v>
      </c>
      <c r="L49" s="20" t="s">
        <v>33</v>
      </c>
      <c r="M49" s="20" t="s">
        <v>33</v>
      </c>
      <c r="N49" s="20" t="s">
        <v>33</v>
      </c>
      <c r="O49" s="4" t="s">
        <v>33</v>
      </c>
      <c r="P49" s="4" t="s">
        <v>33</v>
      </c>
      <c r="Q49" s="20"/>
      <c r="R49" s="20"/>
      <c r="S49" s="20" t="s">
        <v>357</v>
      </c>
      <c r="T49" s="4" t="s">
        <v>40</v>
      </c>
      <c r="U49" s="20" t="s">
        <v>33</v>
      </c>
      <c r="V49" s="20" t="s">
        <v>33</v>
      </c>
      <c r="W49" s="20"/>
      <c r="X49" s="20"/>
      <c r="Y49" s="20"/>
      <c r="Z49" s="20"/>
      <c r="AA49" s="20" t="s">
        <v>33</v>
      </c>
      <c r="AB49" s="20"/>
    </row>
    <row r="50" spans="1:28">
      <c r="A50" s="3">
        <v>46069</v>
      </c>
      <c r="B50" s="20" t="s">
        <v>358</v>
      </c>
      <c r="C50" s="12">
        <v>8973770630</v>
      </c>
      <c r="D50" s="20" t="s">
        <v>359</v>
      </c>
      <c r="E50" s="21" t="s">
        <v>26</v>
      </c>
      <c r="F50" s="20" t="s">
        <v>97</v>
      </c>
      <c r="G50" s="20" t="s">
        <v>33</v>
      </c>
      <c r="H50" s="20" t="s">
        <v>36</v>
      </c>
      <c r="I50" s="20"/>
      <c r="J50" s="20" t="s">
        <v>36</v>
      </c>
      <c r="K50" s="20"/>
      <c r="L50" s="20" t="s">
        <v>33</v>
      </c>
      <c r="M50" s="20" t="s">
        <v>33</v>
      </c>
      <c r="N50" s="20" t="s">
        <v>33</v>
      </c>
      <c r="O50" s="4" t="s">
        <v>33</v>
      </c>
      <c r="P50" s="4" t="s">
        <v>33</v>
      </c>
      <c r="Q50" s="20"/>
      <c r="R50" s="20"/>
      <c r="S50" s="20" t="s">
        <v>360</v>
      </c>
      <c r="T50" s="4" t="s">
        <v>40</v>
      </c>
      <c r="U50" s="20"/>
      <c r="V50" s="20"/>
      <c r="W50" s="20"/>
      <c r="X50" s="20"/>
      <c r="Y50" s="20"/>
      <c r="Z50" s="20" t="s">
        <v>33</v>
      </c>
      <c r="AA50" s="20" t="s">
        <v>33</v>
      </c>
      <c r="AB50" s="20"/>
    </row>
    <row r="51" spans="1:28">
      <c r="A51" s="3">
        <v>46069</v>
      </c>
      <c r="B51" s="20" t="s">
        <v>361</v>
      </c>
      <c r="C51" s="12">
        <v>9965147558</v>
      </c>
      <c r="D51" s="20" t="s">
        <v>362</v>
      </c>
      <c r="E51" s="21" t="s">
        <v>48</v>
      </c>
      <c r="F51" s="20" t="s">
        <v>33</v>
      </c>
      <c r="G51" s="20" t="s">
        <v>33</v>
      </c>
      <c r="H51" s="20" t="s">
        <v>36</v>
      </c>
      <c r="I51" s="20"/>
      <c r="J51" s="20" t="s">
        <v>36</v>
      </c>
      <c r="K51" s="20"/>
      <c r="L51" s="20" t="s">
        <v>33</v>
      </c>
      <c r="M51" s="20" t="s">
        <v>33</v>
      </c>
      <c r="N51" s="20" t="s">
        <v>33</v>
      </c>
      <c r="O51" s="4" t="s">
        <v>33</v>
      </c>
      <c r="P51" s="4" t="s">
        <v>33</v>
      </c>
      <c r="Q51" s="20"/>
      <c r="R51" s="20"/>
      <c r="S51" s="20" t="s">
        <v>363</v>
      </c>
      <c r="T51" s="4" t="s">
        <v>40</v>
      </c>
      <c r="U51" s="20"/>
      <c r="V51" s="20"/>
      <c r="W51" s="20"/>
      <c r="X51" s="20"/>
      <c r="Y51" s="20"/>
      <c r="Z51" s="20"/>
      <c r="AA51" s="20"/>
      <c r="AB51" s="20"/>
    </row>
    <row r="52" spans="1:28">
      <c r="A52" s="3">
        <v>46070</v>
      </c>
      <c r="B52" s="20" t="s">
        <v>364</v>
      </c>
      <c r="C52" s="12">
        <v>8838944936</v>
      </c>
      <c r="D52" s="20" t="s">
        <v>365</v>
      </c>
      <c r="E52" s="21" t="s">
        <v>86</v>
      </c>
      <c r="F52" s="20" t="s">
        <v>33</v>
      </c>
      <c r="G52" s="20" t="s">
        <v>33</v>
      </c>
      <c r="H52" s="20" t="s">
        <v>33</v>
      </c>
      <c r="I52" s="8" t="s">
        <v>366</v>
      </c>
      <c r="J52" s="20" t="s">
        <v>33</v>
      </c>
      <c r="K52" s="20" t="s">
        <v>304</v>
      </c>
      <c r="L52" s="20" t="s">
        <v>37</v>
      </c>
      <c r="M52" s="20" t="s">
        <v>36</v>
      </c>
      <c r="N52" s="20" t="s">
        <v>33</v>
      </c>
      <c r="O52" s="20" t="s">
        <v>36</v>
      </c>
      <c r="P52" s="4" t="s">
        <v>33</v>
      </c>
      <c r="Q52" s="8" t="s">
        <v>367</v>
      </c>
      <c r="R52" s="8" t="s">
        <v>368</v>
      </c>
      <c r="S52" s="20" t="s">
        <v>369</v>
      </c>
      <c r="T52" s="4" t="s">
        <v>40</v>
      </c>
      <c r="U52" s="20"/>
      <c r="V52" s="20"/>
      <c r="W52" s="20"/>
      <c r="X52" s="20"/>
      <c r="Y52" s="20"/>
      <c r="Z52" s="20"/>
      <c r="AA52" s="20"/>
      <c r="AB52" s="20"/>
    </row>
    <row r="53" spans="1:28">
      <c r="A53" s="3">
        <v>46070</v>
      </c>
      <c r="B53" s="20" t="s">
        <v>370</v>
      </c>
      <c r="C53" s="12">
        <v>6300802651</v>
      </c>
      <c r="D53" s="20" t="s">
        <v>371</v>
      </c>
      <c r="E53" s="21" t="s">
        <v>48</v>
      </c>
      <c r="F53" s="20" t="s">
        <v>33</v>
      </c>
      <c r="G53" s="20" t="s">
        <v>33</v>
      </c>
      <c r="H53" s="20" t="s">
        <v>36</v>
      </c>
      <c r="I53" s="20"/>
      <c r="J53" s="20"/>
      <c r="K53" s="20"/>
      <c r="L53" s="20" t="s">
        <v>33</v>
      </c>
      <c r="M53" s="20" t="s">
        <v>33</v>
      </c>
      <c r="N53" s="20" t="s">
        <v>33</v>
      </c>
      <c r="O53" s="4" t="s">
        <v>33</v>
      </c>
      <c r="P53" s="4" t="s">
        <v>33</v>
      </c>
      <c r="Q53" s="20"/>
      <c r="R53" s="20"/>
      <c r="S53" s="20" t="s">
        <v>372</v>
      </c>
      <c r="T53" s="4" t="s">
        <v>40</v>
      </c>
      <c r="U53" s="20"/>
      <c r="V53" s="20"/>
      <c r="W53" s="20"/>
      <c r="X53" s="20"/>
      <c r="Y53" s="20"/>
      <c r="Z53" s="20"/>
      <c r="AA53" s="20"/>
      <c r="AB53" s="20"/>
    </row>
    <row r="54" spans="1:28">
      <c r="A54" s="3">
        <v>46070</v>
      </c>
      <c r="B54" s="20" t="s">
        <v>373</v>
      </c>
      <c r="C54" s="12">
        <v>8870957492</v>
      </c>
      <c r="D54" s="20" t="s">
        <v>374</v>
      </c>
      <c r="E54" s="21" t="s">
        <v>86</v>
      </c>
      <c r="F54" s="20" t="s">
        <v>33</v>
      </c>
      <c r="G54" s="20" t="s">
        <v>33</v>
      </c>
      <c r="H54" s="20"/>
      <c r="I54" s="20"/>
      <c r="J54" s="20"/>
      <c r="K54" s="20"/>
      <c r="L54" s="20" t="s">
        <v>33</v>
      </c>
      <c r="M54" s="20" t="s">
        <v>33</v>
      </c>
      <c r="N54" s="20" t="s">
        <v>33</v>
      </c>
      <c r="O54" s="4" t="s">
        <v>33</v>
      </c>
      <c r="P54" s="4" t="s">
        <v>33</v>
      </c>
      <c r="Q54" s="20"/>
      <c r="R54" s="20"/>
      <c r="S54" s="20" t="s">
        <v>375</v>
      </c>
      <c r="T54" s="4" t="s">
        <v>40</v>
      </c>
      <c r="U54" s="20" t="s">
        <v>33</v>
      </c>
      <c r="V54" s="20"/>
      <c r="W54" s="20"/>
      <c r="X54" s="20"/>
      <c r="Y54" s="20"/>
      <c r="Z54" s="20"/>
      <c r="AA54" s="20" t="s">
        <v>33</v>
      </c>
      <c r="AB54" s="20"/>
    </row>
    <row r="55" spans="1:28">
      <c r="A55" s="3">
        <v>46070</v>
      </c>
      <c r="B55" s="20" t="s">
        <v>249</v>
      </c>
      <c r="C55" s="12">
        <v>9841907133</v>
      </c>
      <c r="D55" s="20" t="s">
        <v>250</v>
      </c>
      <c r="E55" s="21" t="s">
        <v>55</v>
      </c>
      <c r="F55" s="20" t="s">
        <v>33</v>
      </c>
      <c r="G55" s="20" t="s">
        <v>33</v>
      </c>
      <c r="H55" s="20"/>
      <c r="I55" s="20"/>
      <c r="J55" s="20"/>
      <c r="K55" s="20"/>
      <c r="L55" s="20" t="s">
        <v>33</v>
      </c>
      <c r="M55" s="20" t="s">
        <v>33</v>
      </c>
      <c r="N55" s="20" t="s">
        <v>33</v>
      </c>
      <c r="O55" s="4" t="s">
        <v>33</v>
      </c>
      <c r="P55" s="4" t="s">
        <v>33</v>
      </c>
      <c r="Q55" s="20"/>
      <c r="R55" s="20"/>
      <c r="S55" s="20" t="s">
        <v>376</v>
      </c>
      <c r="T55" s="4" t="s">
        <v>40</v>
      </c>
      <c r="U55" s="20" t="s">
        <v>33</v>
      </c>
      <c r="V55" s="20" t="s">
        <v>33</v>
      </c>
      <c r="W55" s="20" t="s">
        <v>33</v>
      </c>
      <c r="X55" s="20"/>
      <c r="Y55" s="20"/>
      <c r="Z55" s="20" t="s">
        <v>33</v>
      </c>
      <c r="AA55" s="20"/>
      <c r="AB55" s="20"/>
    </row>
    <row r="56" spans="1:28" ht="25.5" customHeight="1">
      <c r="A56" s="3">
        <v>46071</v>
      </c>
      <c r="B56" s="5" t="s">
        <v>377</v>
      </c>
      <c r="C56" s="14">
        <v>9686162699</v>
      </c>
      <c r="D56" s="20" t="s">
        <v>42</v>
      </c>
      <c r="E56" s="6" t="s">
        <v>378</v>
      </c>
      <c r="F56" s="20" t="s">
        <v>97</v>
      </c>
      <c r="G56" s="20" t="s">
        <v>33</v>
      </c>
      <c r="H56" s="20"/>
      <c r="I56" s="20"/>
      <c r="J56" s="20"/>
      <c r="K56" s="20"/>
      <c r="L56" s="20" t="s">
        <v>33</v>
      </c>
      <c r="M56" s="20" t="s">
        <v>33</v>
      </c>
      <c r="N56" s="20" t="s">
        <v>33</v>
      </c>
      <c r="O56" s="4" t="s">
        <v>33</v>
      </c>
      <c r="P56" s="4" t="s">
        <v>33</v>
      </c>
      <c r="Q56" s="20"/>
      <c r="R56" s="20"/>
      <c r="S56" s="20" t="s">
        <v>379</v>
      </c>
      <c r="T56" s="7" t="s">
        <v>40</v>
      </c>
      <c r="U56" s="20"/>
      <c r="V56" s="20"/>
      <c r="W56" s="20"/>
      <c r="X56" s="20"/>
      <c r="Y56" s="20"/>
      <c r="Z56" s="20"/>
      <c r="AA56" s="20"/>
      <c r="AB56" s="20"/>
    </row>
    <row r="57" spans="1:28">
      <c r="A57" s="3">
        <v>46071</v>
      </c>
      <c r="B57" s="20" t="s">
        <v>380</v>
      </c>
      <c r="C57" s="14">
        <v>9791115648</v>
      </c>
      <c r="D57" s="20" t="s">
        <v>381</v>
      </c>
      <c r="E57" s="21" t="s">
        <v>246</v>
      </c>
      <c r="F57" s="20" t="s">
        <v>33</v>
      </c>
      <c r="G57" s="20" t="s">
        <v>33</v>
      </c>
      <c r="H57" s="20"/>
      <c r="I57" s="20"/>
      <c r="J57" s="20"/>
      <c r="K57" s="20"/>
      <c r="L57" s="20" t="s">
        <v>33</v>
      </c>
      <c r="M57" s="20" t="s">
        <v>33</v>
      </c>
      <c r="N57" s="20" t="s">
        <v>33</v>
      </c>
      <c r="O57" s="4" t="s">
        <v>33</v>
      </c>
      <c r="P57" s="4" t="s">
        <v>33</v>
      </c>
      <c r="Q57" s="20"/>
      <c r="R57" s="20"/>
      <c r="S57" s="20"/>
      <c r="T57" s="20"/>
      <c r="U57" s="20"/>
      <c r="V57" s="20"/>
      <c r="W57" s="20"/>
      <c r="X57" s="20"/>
      <c r="Y57" s="20"/>
      <c r="Z57" s="20"/>
      <c r="AA57" s="20"/>
      <c r="AB57" s="20"/>
    </row>
    <row r="58" spans="1:28">
      <c r="A58" s="3">
        <v>46071</v>
      </c>
      <c r="B58" s="20" t="s">
        <v>382</v>
      </c>
      <c r="C58" s="14">
        <v>9344357665</v>
      </c>
      <c r="D58" s="20" t="s">
        <v>383</v>
      </c>
      <c r="E58" s="21" t="s">
        <v>48</v>
      </c>
      <c r="F58" s="20" t="s">
        <v>33</v>
      </c>
      <c r="G58" s="20" t="s">
        <v>33</v>
      </c>
      <c r="H58" s="20" t="s">
        <v>33</v>
      </c>
      <c r="I58" s="20" t="s">
        <v>384</v>
      </c>
      <c r="J58" s="20"/>
      <c r="K58" s="20"/>
      <c r="L58" s="20" t="s">
        <v>33</v>
      </c>
      <c r="M58" s="20" t="s">
        <v>33</v>
      </c>
      <c r="N58" s="20" t="s">
        <v>33</v>
      </c>
      <c r="O58" s="4" t="s">
        <v>33</v>
      </c>
      <c r="P58" s="4" t="s">
        <v>33</v>
      </c>
      <c r="Q58" s="20" t="s">
        <v>385</v>
      </c>
      <c r="R58" s="20" t="s">
        <v>386</v>
      </c>
      <c r="S58" s="20" t="s">
        <v>387</v>
      </c>
      <c r="T58" s="4" t="s">
        <v>40</v>
      </c>
      <c r="U58" s="20"/>
      <c r="V58" s="20"/>
      <c r="W58" s="20"/>
      <c r="X58" s="20"/>
      <c r="Y58" s="20"/>
      <c r="Z58" s="20"/>
      <c r="AA58" s="20"/>
      <c r="AB58" s="20"/>
    </row>
    <row r="59" spans="1:28">
      <c r="A59" s="3">
        <v>46071</v>
      </c>
      <c r="B59" s="20" t="s">
        <v>312</v>
      </c>
      <c r="C59" s="12">
        <v>8825503298</v>
      </c>
      <c r="D59" s="20" t="s">
        <v>313</v>
      </c>
      <c r="E59" s="21" t="s">
        <v>48</v>
      </c>
      <c r="F59" s="20" t="s">
        <v>62</v>
      </c>
      <c r="G59" s="20" t="s">
        <v>33</v>
      </c>
      <c r="H59" s="20"/>
      <c r="I59" s="20"/>
      <c r="J59" s="20"/>
      <c r="K59" s="20"/>
      <c r="L59" s="20" t="s">
        <v>33</v>
      </c>
      <c r="M59" s="20" t="s">
        <v>33</v>
      </c>
      <c r="N59" s="20" t="s">
        <v>33</v>
      </c>
      <c r="O59" s="4" t="s">
        <v>33</v>
      </c>
      <c r="P59" s="4" t="s">
        <v>33</v>
      </c>
      <c r="Q59" s="20"/>
      <c r="R59" s="20"/>
      <c r="S59" s="20"/>
      <c r="T59" s="20"/>
      <c r="U59" s="20"/>
      <c r="V59" s="20"/>
      <c r="W59" s="20"/>
      <c r="X59" s="20"/>
      <c r="Y59" s="20"/>
      <c r="Z59" s="20"/>
      <c r="AA59" s="20"/>
      <c r="AB59" s="20"/>
    </row>
    <row r="60" spans="1:28" ht="15.75" customHeight="1">
      <c r="A60" s="3">
        <v>46072</v>
      </c>
      <c r="B60" s="9" t="s">
        <v>388</v>
      </c>
      <c r="C60" s="12">
        <v>9677036144</v>
      </c>
      <c r="D60" s="20" t="s">
        <v>389</v>
      </c>
      <c r="E60" s="10" t="s">
        <v>246</v>
      </c>
      <c r="F60" s="20" t="s">
        <v>33</v>
      </c>
      <c r="G60" s="20" t="s">
        <v>33</v>
      </c>
      <c r="H60" s="20"/>
      <c r="I60" s="20"/>
      <c r="J60" s="20"/>
      <c r="K60" s="20"/>
      <c r="L60" s="20" t="s">
        <v>33</v>
      </c>
      <c r="M60" s="20" t="s">
        <v>33</v>
      </c>
      <c r="N60" s="20" t="s">
        <v>33</v>
      </c>
      <c r="O60" s="4" t="s">
        <v>33</v>
      </c>
      <c r="P60" s="4" t="s">
        <v>33</v>
      </c>
      <c r="Q60" s="20"/>
      <c r="R60" s="20"/>
      <c r="S60" s="20"/>
      <c r="T60" s="20"/>
      <c r="U60" s="20"/>
      <c r="V60" s="20"/>
      <c r="W60" s="20"/>
      <c r="X60" s="20"/>
      <c r="Y60" s="20"/>
      <c r="Z60" s="20"/>
      <c r="AA60" s="20"/>
      <c r="AB60" s="20"/>
    </row>
    <row r="61" spans="1:28" ht="15.75" customHeight="1">
      <c r="A61" s="3">
        <v>46072</v>
      </c>
      <c r="B61" s="9" t="s">
        <v>261</v>
      </c>
      <c r="C61" s="12">
        <v>9500004992</v>
      </c>
      <c r="D61" s="20" t="s">
        <v>390</v>
      </c>
      <c r="E61" s="10" t="s">
        <v>25</v>
      </c>
      <c r="F61" s="20" t="s">
        <v>62</v>
      </c>
      <c r="G61" s="20" t="s">
        <v>33</v>
      </c>
      <c r="H61" s="20" t="s">
        <v>33</v>
      </c>
      <c r="I61" s="20" t="s">
        <v>67</v>
      </c>
      <c r="J61" s="20" t="s">
        <v>33</v>
      </c>
      <c r="K61" s="20" t="s">
        <v>391</v>
      </c>
      <c r="L61" s="20" t="s">
        <v>33</v>
      </c>
      <c r="M61" s="20" t="s">
        <v>33</v>
      </c>
      <c r="N61" s="20" t="s">
        <v>33</v>
      </c>
      <c r="O61" s="4" t="s">
        <v>33</v>
      </c>
      <c r="P61" s="4" t="s">
        <v>33</v>
      </c>
      <c r="Q61" s="20" t="s">
        <v>392</v>
      </c>
      <c r="R61" s="20" t="s">
        <v>393</v>
      </c>
      <c r="S61" s="20" t="s">
        <v>394</v>
      </c>
      <c r="T61" s="4" t="s">
        <v>40</v>
      </c>
      <c r="U61" s="20"/>
      <c r="V61" s="20"/>
      <c r="W61" s="20" t="s">
        <v>33</v>
      </c>
      <c r="X61" s="20"/>
      <c r="Y61" s="20"/>
      <c r="Z61" s="20"/>
      <c r="AA61" s="20" t="s">
        <v>33</v>
      </c>
      <c r="AB61" s="20"/>
    </row>
    <row r="62" spans="1:28" ht="15.75" customHeight="1">
      <c r="A62" s="3">
        <v>46072</v>
      </c>
      <c r="B62" s="9" t="s">
        <v>395</v>
      </c>
      <c r="C62" s="12">
        <v>7470426410</v>
      </c>
      <c r="D62" s="20" t="s">
        <v>396</v>
      </c>
      <c r="E62" s="10" t="s">
        <v>48</v>
      </c>
      <c r="F62" s="20" t="s">
        <v>97</v>
      </c>
      <c r="G62" s="61" t="s">
        <v>37</v>
      </c>
      <c r="H62" s="20" t="s">
        <v>36</v>
      </c>
      <c r="I62" s="20"/>
      <c r="J62" s="20" t="s">
        <v>36</v>
      </c>
      <c r="K62" s="20"/>
      <c r="L62" s="20" t="s">
        <v>33</v>
      </c>
      <c r="M62" s="20" t="s">
        <v>33</v>
      </c>
      <c r="N62" s="20" t="s">
        <v>33</v>
      </c>
      <c r="O62" s="4" t="s">
        <v>33</v>
      </c>
      <c r="P62" s="4" t="s">
        <v>33</v>
      </c>
      <c r="Q62" s="20"/>
      <c r="R62" s="20"/>
      <c r="S62" s="20"/>
      <c r="T62" s="20"/>
      <c r="U62" s="20"/>
      <c r="V62" s="20"/>
      <c r="W62" s="20"/>
      <c r="X62" s="20"/>
      <c r="Y62" s="20"/>
      <c r="Z62" s="20"/>
      <c r="AA62" s="20"/>
      <c r="AB62" s="20"/>
    </row>
    <row r="63" spans="1:28">
      <c r="A63" s="3">
        <v>46073</v>
      </c>
      <c r="B63" s="20" t="s">
        <v>397</v>
      </c>
      <c r="C63" s="12">
        <v>6238795658</v>
      </c>
      <c r="D63" s="20" t="s">
        <v>398</v>
      </c>
      <c r="E63" s="21" t="s">
        <v>48</v>
      </c>
      <c r="F63" s="20" t="s">
        <v>62</v>
      </c>
      <c r="G63" s="61" t="s">
        <v>37</v>
      </c>
      <c r="H63" s="20" t="s">
        <v>36</v>
      </c>
      <c r="I63" s="20"/>
      <c r="J63" s="20" t="s">
        <v>36</v>
      </c>
      <c r="K63" s="20"/>
      <c r="L63" s="20" t="s">
        <v>33</v>
      </c>
      <c r="M63" s="20" t="s">
        <v>33</v>
      </c>
      <c r="N63" s="20" t="s">
        <v>33</v>
      </c>
      <c r="O63" s="4" t="s">
        <v>33</v>
      </c>
      <c r="P63" s="4" t="s">
        <v>33</v>
      </c>
      <c r="Q63" s="20"/>
      <c r="R63" s="20"/>
      <c r="S63" s="20"/>
      <c r="T63" s="20"/>
      <c r="U63" s="20"/>
      <c r="V63" s="20"/>
      <c r="W63" s="20"/>
      <c r="X63" s="20"/>
      <c r="Y63" s="20"/>
      <c r="Z63" s="20"/>
      <c r="AA63" s="20"/>
      <c r="AB63" s="20"/>
    </row>
    <row r="64" spans="1:28">
      <c r="A64" s="3">
        <v>46073</v>
      </c>
      <c r="B64" s="20" t="s">
        <v>335</v>
      </c>
      <c r="C64" s="14">
        <v>7358503387</v>
      </c>
      <c r="D64" s="20" t="s">
        <v>227</v>
      </c>
      <c r="E64" s="21" t="s">
        <v>48</v>
      </c>
      <c r="F64" s="20" t="s">
        <v>62</v>
      </c>
      <c r="G64" s="20" t="s">
        <v>33</v>
      </c>
      <c r="H64" s="20" t="s">
        <v>34</v>
      </c>
      <c r="I64" s="16" t="s">
        <v>336</v>
      </c>
      <c r="J64" s="20" t="s">
        <v>33</v>
      </c>
      <c r="K64" s="20" t="s">
        <v>304</v>
      </c>
      <c r="L64" s="20" t="s">
        <v>33</v>
      </c>
      <c r="M64" s="20" t="s">
        <v>33</v>
      </c>
      <c r="N64" s="20" t="s">
        <v>33</v>
      </c>
      <c r="O64" s="4" t="s">
        <v>33</v>
      </c>
      <c r="P64" s="4" t="s">
        <v>33</v>
      </c>
      <c r="Q64" s="16" t="s">
        <v>337</v>
      </c>
      <c r="R64" s="16" t="s">
        <v>399</v>
      </c>
      <c r="S64" s="20" t="s">
        <v>338</v>
      </c>
      <c r="T64" s="7" t="s">
        <v>40</v>
      </c>
      <c r="U64" s="20" t="s">
        <v>300</v>
      </c>
      <c r="V64" s="20"/>
      <c r="W64" s="20"/>
      <c r="X64" s="20"/>
      <c r="Y64" s="20"/>
      <c r="Z64" s="20"/>
      <c r="AA64" s="20"/>
      <c r="AB64" s="20"/>
    </row>
    <row r="65" spans="1:28">
      <c r="A65" s="3">
        <v>46073</v>
      </c>
      <c r="B65" s="20" t="s">
        <v>400</v>
      </c>
      <c r="C65" s="14">
        <v>7994828898</v>
      </c>
      <c r="D65" s="20" t="s">
        <v>401</v>
      </c>
      <c r="E65" s="21" t="s">
        <v>48</v>
      </c>
      <c r="F65" s="20" t="s">
        <v>97</v>
      </c>
      <c r="G65" s="61" t="s">
        <v>37</v>
      </c>
      <c r="H65" s="20" t="s">
        <v>36</v>
      </c>
      <c r="I65" s="20"/>
      <c r="J65" s="20" t="s">
        <v>36</v>
      </c>
      <c r="K65" s="20"/>
      <c r="L65" s="20" t="s">
        <v>37</v>
      </c>
      <c r="M65" s="20" t="s">
        <v>33</v>
      </c>
      <c r="N65" s="20" t="s">
        <v>33</v>
      </c>
      <c r="O65" s="4" t="s">
        <v>33</v>
      </c>
      <c r="P65" s="4" t="s">
        <v>33</v>
      </c>
      <c r="Q65" s="20"/>
      <c r="R65" s="20"/>
      <c r="S65" s="20" t="s">
        <v>402</v>
      </c>
      <c r="T65" s="4" t="s">
        <v>40</v>
      </c>
      <c r="U65" s="20"/>
      <c r="V65" s="20"/>
      <c r="W65" s="20"/>
      <c r="X65" s="20"/>
      <c r="Y65" s="20"/>
      <c r="Z65" s="20"/>
      <c r="AA65" s="20"/>
      <c r="AB65" s="20"/>
    </row>
    <row r="66" spans="1:28">
      <c r="A66" s="3">
        <v>46073</v>
      </c>
      <c r="B66" s="20" t="s">
        <v>403</v>
      </c>
      <c r="C66" s="14">
        <v>7736428539</v>
      </c>
      <c r="D66" s="20" t="s">
        <v>404</v>
      </c>
      <c r="E66" s="21" t="s">
        <v>48</v>
      </c>
      <c r="F66" s="20" t="s">
        <v>33</v>
      </c>
      <c r="G66" s="61" t="s">
        <v>37</v>
      </c>
      <c r="H66" s="20" t="s">
        <v>36</v>
      </c>
      <c r="I66" s="20"/>
      <c r="J66" s="20" t="s">
        <v>36</v>
      </c>
      <c r="K66" s="20"/>
      <c r="L66" s="20" t="s">
        <v>33</v>
      </c>
      <c r="M66" s="20" t="s">
        <v>33</v>
      </c>
      <c r="N66" s="20" t="s">
        <v>33</v>
      </c>
      <c r="O66" s="4" t="s">
        <v>33</v>
      </c>
      <c r="P66" s="4" t="s">
        <v>33</v>
      </c>
      <c r="Q66" s="20"/>
      <c r="R66" s="20"/>
      <c r="S66" s="20" t="s">
        <v>405</v>
      </c>
      <c r="T66" s="4" t="s">
        <v>40</v>
      </c>
      <c r="U66" s="20" t="s">
        <v>300</v>
      </c>
      <c r="V66" s="20"/>
      <c r="W66" s="20"/>
      <c r="X66" s="20"/>
      <c r="Y66" s="20"/>
      <c r="Z66" s="20"/>
      <c r="AA66" s="20"/>
      <c r="AB66" s="20"/>
    </row>
    <row r="67" spans="1:28" ht="15.75" customHeight="1">
      <c r="A67" s="3">
        <v>46076</v>
      </c>
      <c r="B67" s="9" t="s">
        <v>406</v>
      </c>
      <c r="C67" s="12">
        <v>9884389739</v>
      </c>
      <c r="D67" s="20" t="s">
        <v>69</v>
      </c>
      <c r="E67" s="10" t="s">
        <v>48</v>
      </c>
      <c r="F67" s="20" t="s">
        <v>62</v>
      </c>
      <c r="G67" s="20" t="s">
        <v>33</v>
      </c>
      <c r="H67" s="20" t="s">
        <v>36</v>
      </c>
      <c r="I67" s="20"/>
      <c r="J67" s="20" t="s">
        <v>36</v>
      </c>
      <c r="K67" s="20"/>
      <c r="L67" s="20" t="s">
        <v>33</v>
      </c>
      <c r="M67" s="20" t="s">
        <v>33</v>
      </c>
      <c r="N67" s="20" t="s">
        <v>33</v>
      </c>
      <c r="O67" s="4" t="s">
        <v>33</v>
      </c>
      <c r="P67" s="4" t="s">
        <v>33</v>
      </c>
      <c r="Q67" s="20"/>
      <c r="R67" s="20"/>
      <c r="S67" s="20" t="s">
        <v>407</v>
      </c>
      <c r="T67" s="4" t="s">
        <v>40</v>
      </c>
      <c r="U67" s="20"/>
      <c r="V67" s="20"/>
      <c r="W67" s="20"/>
      <c r="X67" s="20"/>
      <c r="Y67" s="20"/>
      <c r="Z67" s="20"/>
      <c r="AA67" s="20"/>
      <c r="AB67" s="20"/>
    </row>
    <row r="68" spans="1:28" ht="15.75" customHeight="1">
      <c r="A68" s="3">
        <v>46077</v>
      </c>
      <c r="B68" s="9" t="s">
        <v>408</v>
      </c>
      <c r="C68" s="12">
        <v>9940106297</v>
      </c>
      <c r="D68" s="20" t="s">
        <v>409</v>
      </c>
      <c r="E68" s="10" t="s">
        <v>48</v>
      </c>
      <c r="F68" s="20" t="s">
        <v>33</v>
      </c>
      <c r="G68" s="20" t="s">
        <v>33</v>
      </c>
      <c r="H68" s="20" t="s">
        <v>34</v>
      </c>
      <c r="I68" s="16" t="s">
        <v>410</v>
      </c>
      <c r="J68" s="20"/>
      <c r="K68" s="20"/>
      <c r="L68" s="20" t="s">
        <v>33</v>
      </c>
      <c r="M68" s="20" t="s">
        <v>33</v>
      </c>
      <c r="N68" s="20" t="s">
        <v>33</v>
      </c>
      <c r="O68" s="4" t="s">
        <v>33</v>
      </c>
      <c r="P68" s="4" t="s">
        <v>33</v>
      </c>
      <c r="Q68" s="16" t="s">
        <v>411</v>
      </c>
      <c r="R68" s="16" t="s">
        <v>412</v>
      </c>
      <c r="S68" s="20" t="s">
        <v>413</v>
      </c>
      <c r="T68" s="4" t="s">
        <v>40</v>
      </c>
      <c r="U68" s="20"/>
      <c r="V68" s="20"/>
      <c r="W68" s="20"/>
      <c r="X68" s="20"/>
      <c r="Y68" s="20"/>
      <c r="Z68" s="20"/>
      <c r="AA68" s="20"/>
      <c r="AB68" s="20"/>
    </row>
    <row r="69" spans="1:28" ht="15.75" customHeight="1">
      <c r="A69" s="3">
        <v>46077</v>
      </c>
      <c r="B69" s="9" t="s">
        <v>414</v>
      </c>
      <c r="C69" s="14">
        <v>9994157238</v>
      </c>
      <c r="D69" s="20" t="s">
        <v>415</v>
      </c>
      <c r="E69" s="10" t="s">
        <v>86</v>
      </c>
      <c r="F69" s="20" t="s">
        <v>33</v>
      </c>
      <c r="G69" s="20" t="s">
        <v>33</v>
      </c>
      <c r="H69" s="20" t="s">
        <v>36</v>
      </c>
      <c r="I69" s="20"/>
      <c r="J69" s="20"/>
      <c r="K69" s="20"/>
      <c r="L69" s="20" t="s">
        <v>33</v>
      </c>
      <c r="M69" s="20" t="s">
        <v>33</v>
      </c>
      <c r="N69" s="20" t="s">
        <v>33</v>
      </c>
      <c r="O69" s="4" t="s">
        <v>33</v>
      </c>
      <c r="P69" s="4" t="s">
        <v>33</v>
      </c>
      <c r="Q69" s="20"/>
      <c r="R69" s="20"/>
      <c r="S69" s="20" t="s">
        <v>416</v>
      </c>
      <c r="T69" s="4" t="s">
        <v>40</v>
      </c>
      <c r="U69" s="20"/>
      <c r="V69" s="20"/>
      <c r="W69" s="20"/>
      <c r="X69" s="20"/>
      <c r="Y69" s="20"/>
      <c r="Z69" s="20" t="s">
        <v>33</v>
      </c>
      <c r="AA69" s="20"/>
      <c r="AB69" s="20"/>
    </row>
    <row r="70" spans="1:28">
      <c r="A70" s="3">
        <v>46078</v>
      </c>
      <c r="B70" s="20" t="s">
        <v>417</v>
      </c>
      <c r="C70" s="12">
        <v>9710865311</v>
      </c>
      <c r="D70" s="20" t="s">
        <v>418</v>
      </c>
      <c r="E70" s="21" t="s">
        <v>48</v>
      </c>
      <c r="F70" s="20" t="s">
        <v>33</v>
      </c>
      <c r="G70" s="20" t="s">
        <v>33</v>
      </c>
      <c r="H70" s="20" t="s">
        <v>36</v>
      </c>
      <c r="I70" s="20"/>
      <c r="J70" s="20"/>
      <c r="K70" s="20"/>
      <c r="L70" s="20" t="s">
        <v>33</v>
      </c>
      <c r="M70" s="20" t="s">
        <v>33</v>
      </c>
      <c r="N70" s="20" t="s">
        <v>33</v>
      </c>
      <c r="O70" s="4" t="s">
        <v>33</v>
      </c>
      <c r="P70" s="4" t="s">
        <v>33</v>
      </c>
      <c r="Q70" s="20"/>
      <c r="R70" s="20"/>
      <c r="S70" s="20" t="s">
        <v>419</v>
      </c>
      <c r="T70" s="20" t="s">
        <v>33</v>
      </c>
      <c r="U70" s="20"/>
      <c r="V70" s="20"/>
      <c r="W70" s="20"/>
      <c r="X70" s="20"/>
      <c r="Y70" s="20"/>
      <c r="Z70" s="20"/>
      <c r="AA70" s="20"/>
      <c r="AB70" s="20"/>
    </row>
    <row r="71" spans="1:28">
      <c r="A71" s="3">
        <v>46079</v>
      </c>
      <c r="B71" s="20" t="s">
        <v>420</v>
      </c>
      <c r="C71" s="12">
        <v>9840910460</v>
      </c>
      <c r="D71" s="20" t="s">
        <v>421</v>
      </c>
      <c r="E71" s="21" t="s">
        <v>48</v>
      </c>
      <c r="F71" s="20" t="s">
        <v>33</v>
      </c>
      <c r="G71" s="20" t="s">
        <v>33</v>
      </c>
      <c r="H71" s="20"/>
      <c r="I71" s="20"/>
      <c r="J71" s="20"/>
      <c r="K71" s="20"/>
      <c r="L71" s="20" t="s">
        <v>33</v>
      </c>
      <c r="M71" s="20" t="s">
        <v>33</v>
      </c>
      <c r="N71" s="20" t="s">
        <v>33</v>
      </c>
      <c r="O71" s="4" t="s">
        <v>33</v>
      </c>
      <c r="P71" s="4" t="s">
        <v>33</v>
      </c>
      <c r="Q71" s="20"/>
      <c r="R71" s="20"/>
      <c r="S71" s="20" t="s">
        <v>422</v>
      </c>
      <c r="T71" s="4" t="s">
        <v>40</v>
      </c>
      <c r="U71" s="20"/>
      <c r="V71" s="20"/>
      <c r="W71" s="20"/>
      <c r="X71" s="20"/>
      <c r="Y71" s="20"/>
      <c r="Z71" s="20"/>
      <c r="AA71" s="20"/>
      <c r="AB71" s="20"/>
    </row>
    <row r="72" spans="1:28">
      <c r="A72" s="3">
        <v>46079</v>
      </c>
      <c r="B72" s="20" t="s">
        <v>414</v>
      </c>
      <c r="C72" s="14">
        <v>9994157238</v>
      </c>
      <c r="D72" s="20" t="s">
        <v>415</v>
      </c>
      <c r="E72" s="21" t="s">
        <v>86</v>
      </c>
      <c r="F72" s="20" t="s">
        <v>62</v>
      </c>
      <c r="G72" s="20" t="s">
        <v>33</v>
      </c>
      <c r="H72" s="20" t="s">
        <v>34</v>
      </c>
      <c r="I72" s="18" t="s">
        <v>423</v>
      </c>
      <c r="J72" s="20"/>
      <c r="K72" s="20"/>
      <c r="L72" s="20" t="s">
        <v>33</v>
      </c>
      <c r="M72" s="20" t="s">
        <v>33</v>
      </c>
      <c r="N72" s="20" t="s">
        <v>33</v>
      </c>
      <c r="O72" s="4" t="s">
        <v>33</v>
      </c>
      <c r="P72" s="4" t="s">
        <v>33</v>
      </c>
      <c r="Q72" s="18" t="s">
        <v>424</v>
      </c>
      <c r="R72" s="18" t="s">
        <v>425</v>
      </c>
      <c r="S72" s="20" t="s">
        <v>416</v>
      </c>
      <c r="T72" s="4" t="s">
        <v>40</v>
      </c>
      <c r="U72" s="20"/>
      <c r="V72" s="20"/>
      <c r="W72" s="20"/>
      <c r="X72" s="20"/>
      <c r="Y72" s="20"/>
      <c r="Z72" s="20" t="s">
        <v>33</v>
      </c>
      <c r="AA72" s="20"/>
      <c r="AB72" s="20"/>
    </row>
    <row r="73" spans="1:28" ht="15.75" customHeight="1">
      <c r="A73" s="3">
        <v>46080</v>
      </c>
      <c r="B73" s="99" t="s">
        <v>30</v>
      </c>
      <c r="C73" s="14">
        <v>8105047843</v>
      </c>
      <c r="D73" s="20" t="s">
        <v>31</v>
      </c>
      <c r="E73" s="17" t="s">
        <v>251</v>
      </c>
      <c r="F73" s="20" t="s">
        <v>33</v>
      </c>
      <c r="G73" s="61" t="s">
        <v>37</v>
      </c>
      <c r="H73" s="20"/>
      <c r="I73" s="20"/>
      <c r="J73" s="20"/>
      <c r="K73" s="20"/>
      <c r="L73" s="20" t="s">
        <v>37</v>
      </c>
      <c r="M73" s="20" t="s">
        <v>33</v>
      </c>
      <c r="N73" s="20" t="s">
        <v>33</v>
      </c>
      <c r="O73" s="4" t="s">
        <v>33</v>
      </c>
      <c r="P73" s="4" t="s">
        <v>33</v>
      </c>
      <c r="Q73" s="20"/>
      <c r="R73" s="20"/>
      <c r="S73" s="20"/>
      <c r="T73" s="20"/>
      <c r="U73" s="20"/>
      <c r="V73" s="20"/>
      <c r="W73" s="20"/>
      <c r="X73" s="20"/>
      <c r="Y73" s="20"/>
      <c r="Z73" s="20"/>
      <c r="AA73" s="20"/>
      <c r="AB73" s="20"/>
    </row>
    <row r="75" spans="1:28" s="34" customFormat="1" ht="15" customHeight="1">
      <c r="B75" s="34" t="s">
        <v>426</v>
      </c>
      <c r="C75" s="63"/>
      <c r="G75" s="62" t="s">
        <v>427</v>
      </c>
      <c r="I75" s="34" t="s">
        <v>270</v>
      </c>
      <c r="K75" s="34" t="s">
        <v>13</v>
      </c>
      <c r="S75" s="34" t="s">
        <v>271</v>
      </c>
      <c r="T75" s="34" t="s">
        <v>272</v>
      </c>
    </row>
    <row r="76" spans="1:28" s="34" customFormat="1" ht="15" customHeight="1">
      <c r="C76" s="63"/>
      <c r="G76" s="62" t="s">
        <v>428</v>
      </c>
      <c r="I76" s="64">
        <f>13/46</f>
        <v>0.28260869565217389</v>
      </c>
      <c r="K76" s="64">
        <f>12/46</f>
        <v>0.2608695652173913</v>
      </c>
      <c r="S76" s="34">
        <v>36</v>
      </c>
      <c r="T76" s="34">
        <v>32</v>
      </c>
    </row>
  </sheetData>
  <autoFilter ref="A27:AB73" xr:uid="{00000000-0009-0000-0000-000001000000}"/>
  <mergeCells count="1">
    <mergeCell ref="A1:E1"/>
  </mergeCells>
  <hyperlinks>
    <hyperlink ref="D28" r:id="rId1" xr:uid="{00000000-0004-0000-0100-000000000000}"/>
    <hyperlink ref="D29" r:id="rId2" xr:uid="{00000000-0004-0000-0100-000001000000}"/>
    <hyperlink ref="D30" r:id="rId3" xr:uid="{00000000-0004-0000-0100-000002000000}"/>
    <hyperlink ref="D31" r:id="rId4" xr:uid="{00000000-0004-0000-0100-000003000000}"/>
    <hyperlink ref="D32" r:id="rId5" xr:uid="{00000000-0004-0000-0100-000004000000}"/>
    <hyperlink ref="D33" r:id="rId6" xr:uid="{00000000-0004-0000-0100-000005000000}"/>
    <hyperlink ref="D34" r:id="rId7" xr:uid="{00000000-0004-0000-0100-000006000000}"/>
    <hyperlink ref="D35" r:id="rId8" xr:uid="{00000000-0004-0000-0100-000007000000}"/>
    <hyperlink ref="D36" r:id="rId9" xr:uid="{00000000-0004-0000-0100-000008000000}"/>
    <hyperlink ref="D37" r:id="rId10" xr:uid="{00000000-0004-0000-0100-000009000000}"/>
    <hyperlink ref="D38" r:id="rId11" xr:uid="{00000000-0004-0000-0100-00000A000000}"/>
    <hyperlink ref="D39" r:id="rId12" xr:uid="{00000000-0004-0000-0100-00000B000000}"/>
    <hyperlink ref="D40" r:id="rId13" xr:uid="{00000000-0004-0000-0100-00000C000000}"/>
    <hyperlink ref="D41" r:id="rId14" xr:uid="{00000000-0004-0000-0100-00000D000000}"/>
    <hyperlink ref="D42" r:id="rId15" xr:uid="{00000000-0004-0000-0100-00000E000000}"/>
    <hyperlink ref="D43" r:id="rId16" xr:uid="{00000000-0004-0000-0100-00000F000000}"/>
    <hyperlink ref="D44" r:id="rId17" xr:uid="{00000000-0004-0000-0100-000010000000}"/>
    <hyperlink ref="D45" r:id="rId18" xr:uid="{00000000-0004-0000-0100-000011000000}"/>
    <hyperlink ref="D46" r:id="rId19" xr:uid="{00000000-0004-0000-0100-000012000000}"/>
    <hyperlink ref="D47" r:id="rId20" xr:uid="{00000000-0004-0000-0100-000013000000}"/>
    <hyperlink ref="D48" r:id="rId21" xr:uid="{00000000-0004-0000-0100-000014000000}"/>
    <hyperlink ref="D49" r:id="rId22" xr:uid="{00000000-0004-0000-0100-000015000000}"/>
    <hyperlink ref="D50" r:id="rId23" xr:uid="{00000000-0004-0000-0100-000016000000}"/>
    <hyperlink ref="D51" r:id="rId24" xr:uid="{00000000-0004-0000-0100-000017000000}"/>
    <hyperlink ref="D52" r:id="rId25" xr:uid="{00000000-0004-0000-0100-000018000000}"/>
    <hyperlink ref="D53" r:id="rId26" xr:uid="{00000000-0004-0000-0100-000019000000}"/>
    <hyperlink ref="D54" r:id="rId27" xr:uid="{00000000-0004-0000-0100-00001A000000}"/>
    <hyperlink ref="D55" r:id="rId28" xr:uid="{00000000-0004-0000-0100-00001B000000}"/>
    <hyperlink ref="D60" r:id="rId29" xr:uid="{00000000-0004-0000-0100-00001C000000}"/>
    <hyperlink ref="D61" r:id="rId30" xr:uid="{00000000-0004-0000-0100-00001D000000}"/>
    <hyperlink ref="D62" r:id="rId31" xr:uid="{00000000-0004-0000-0100-00001E000000}"/>
    <hyperlink ref="D63" r:id="rId32" xr:uid="{00000000-0004-0000-0100-00001F000000}"/>
    <hyperlink ref="D64" r:id="rId33" xr:uid="{00000000-0004-0000-0100-000020000000}"/>
    <hyperlink ref="D65" r:id="rId34" xr:uid="{00000000-0004-0000-0100-000021000000}"/>
    <hyperlink ref="D66" r:id="rId35" xr:uid="{00000000-0004-0000-0100-000022000000}"/>
    <hyperlink ref="D67" r:id="rId36" xr:uid="{00000000-0004-0000-0100-000023000000}"/>
    <hyperlink ref="D68" r:id="rId37" xr:uid="{00000000-0004-0000-0100-000024000000}"/>
    <hyperlink ref="D69" r:id="rId38" xr:uid="{00000000-0004-0000-0100-000025000000}"/>
    <hyperlink ref="D70" r:id="rId39" xr:uid="{00000000-0004-0000-0100-000026000000}"/>
    <hyperlink ref="D71" r:id="rId40" xr:uid="{00000000-0004-0000-0100-000027000000}"/>
    <hyperlink ref="D72" r:id="rId41" xr:uid="{00000000-0004-0000-0100-000028000000}"/>
    <hyperlink ref="D73" r:id="rId42" xr:uid="{00000000-0004-0000-0100-000029000000}"/>
  </hyperlinks>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93"/>
  <sheetViews>
    <sheetView topLeftCell="A57" zoomScale="80" zoomScaleNormal="80" workbookViewId="0">
      <selection activeCell="S29" sqref="S29"/>
    </sheetView>
  </sheetViews>
  <sheetFormatPr defaultColWidth="8.7265625" defaultRowHeight="13"/>
  <cols>
    <col min="1" max="1" width="10.7265625" style="19" bestFit="1" customWidth="1"/>
    <col min="2" max="2" width="24" style="19" bestFit="1" customWidth="1"/>
    <col min="3" max="3" width="14.26953125" style="19" bestFit="1" customWidth="1"/>
    <col min="4" max="6" width="8.7265625" style="19" customWidth="1"/>
    <col min="7" max="7" width="17.81640625" style="19" bestFit="1" customWidth="1"/>
    <col min="8" max="18" width="8.7265625" style="19" customWidth="1"/>
    <col min="19" max="19" width="12.1796875" style="19" customWidth="1"/>
    <col min="20" max="22" width="8.7265625" style="19" customWidth="1"/>
    <col min="23" max="16384" width="8.7265625" style="19"/>
  </cols>
  <sheetData>
    <row r="1" spans="1:6" ht="15" customHeight="1">
      <c r="A1" s="104" t="s">
        <v>429</v>
      </c>
      <c r="B1" s="105"/>
      <c r="C1" s="105"/>
      <c r="D1" s="105"/>
      <c r="E1" s="106"/>
      <c r="F1" s="34"/>
    </row>
    <row r="2" spans="1:6">
      <c r="A2" s="102" t="s">
        <v>1</v>
      </c>
      <c r="B2" s="102">
        <v>2093</v>
      </c>
      <c r="C2" s="11">
        <v>2337</v>
      </c>
      <c r="D2" s="102">
        <v>2394</v>
      </c>
      <c r="E2" s="102" t="s">
        <v>2</v>
      </c>
      <c r="F2" s="34"/>
    </row>
    <row r="3" spans="1:6">
      <c r="A3" s="3">
        <v>46083</v>
      </c>
      <c r="B3" s="20">
        <v>1</v>
      </c>
      <c r="C3" s="20">
        <v>2</v>
      </c>
      <c r="D3" s="20">
        <v>1</v>
      </c>
      <c r="E3" s="20">
        <f t="shared" ref="E3:E23" si="0">SUM(B3:D3)</f>
        <v>4</v>
      </c>
    </row>
    <row r="4" spans="1:6">
      <c r="A4" s="3">
        <v>46084</v>
      </c>
      <c r="B4" s="20">
        <v>2</v>
      </c>
      <c r="C4" s="20">
        <v>1</v>
      </c>
      <c r="D4" s="20"/>
      <c r="E4" s="20">
        <f t="shared" si="0"/>
        <v>3</v>
      </c>
    </row>
    <row r="5" spans="1:6">
      <c r="A5" s="3">
        <v>46085</v>
      </c>
      <c r="B5" s="20"/>
      <c r="C5" s="20">
        <v>1</v>
      </c>
      <c r="D5" s="20">
        <v>1</v>
      </c>
      <c r="E5" s="20">
        <f t="shared" si="0"/>
        <v>2</v>
      </c>
    </row>
    <row r="6" spans="1:6">
      <c r="A6" s="3">
        <v>46086</v>
      </c>
      <c r="B6" s="20">
        <v>1</v>
      </c>
      <c r="C6" s="20"/>
      <c r="D6" s="20"/>
      <c r="E6" s="20">
        <f t="shared" si="0"/>
        <v>1</v>
      </c>
    </row>
    <row r="7" spans="1:6">
      <c r="A7" s="3">
        <v>46087</v>
      </c>
      <c r="B7" s="20">
        <v>2</v>
      </c>
      <c r="C7" s="20">
        <v>1</v>
      </c>
      <c r="D7" s="20"/>
      <c r="E7" s="20">
        <f t="shared" si="0"/>
        <v>3</v>
      </c>
    </row>
    <row r="8" spans="1:6">
      <c r="A8" s="3">
        <v>46090</v>
      </c>
      <c r="B8" s="20">
        <v>1</v>
      </c>
      <c r="C8" s="20">
        <v>1</v>
      </c>
      <c r="D8" s="20"/>
      <c r="E8" s="20">
        <f t="shared" si="0"/>
        <v>2</v>
      </c>
    </row>
    <row r="9" spans="1:6">
      <c r="A9" s="3">
        <v>46091</v>
      </c>
      <c r="B9" s="20">
        <v>2</v>
      </c>
      <c r="C9" s="20">
        <v>1</v>
      </c>
      <c r="D9" s="20"/>
      <c r="E9" s="20">
        <f t="shared" si="0"/>
        <v>3</v>
      </c>
    </row>
    <row r="10" spans="1:6">
      <c r="A10" s="3">
        <v>46092</v>
      </c>
      <c r="B10" s="20">
        <v>1</v>
      </c>
      <c r="C10" s="20">
        <v>1</v>
      </c>
      <c r="D10" s="20"/>
      <c r="E10" s="20">
        <f t="shared" si="0"/>
        <v>2</v>
      </c>
    </row>
    <row r="11" spans="1:6">
      <c r="A11" s="3">
        <v>46093</v>
      </c>
      <c r="B11" s="20">
        <v>2</v>
      </c>
      <c r="C11" s="20"/>
      <c r="D11" s="20">
        <v>1</v>
      </c>
      <c r="E11" s="20">
        <f t="shared" si="0"/>
        <v>3</v>
      </c>
    </row>
    <row r="12" spans="1:6">
      <c r="A12" s="3">
        <v>46094</v>
      </c>
      <c r="B12" s="20">
        <v>2</v>
      </c>
      <c r="C12" s="20">
        <v>1</v>
      </c>
      <c r="D12" s="20">
        <v>1</v>
      </c>
      <c r="E12" s="20">
        <f t="shared" si="0"/>
        <v>4</v>
      </c>
    </row>
    <row r="13" spans="1:6">
      <c r="A13" s="3">
        <v>46097</v>
      </c>
      <c r="B13" s="20">
        <v>2</v>
      </c>
      <c r="C13" s="20">
        <v>1</v>
      </c>
      <c r="D13" s="20"/>
      <c r="E13" s="20">
        <f t="shared" si="0"/>
        <v>3</v>
      </c>
    </row>
    <row r="14" spans="1:6">
      <c r="A14" s="3">
        <v>46098</v>
      </c>
      <c r="B14" s="20">
        <v>2</v>
      </c>
      <c r="C14" s="20">
        <v>1</v>
      </c>
      <c r="D14" s="20">
        <v>1</v>
      </c>
      <c r="E14" s="20">
        <f t="shared" si="0"/>
        <v>4</v>
      </c>
    </row>
    <row r="15" spans="1:6">
      <c r="A15" s="3">
        <v>46099</v>
      </c>
      <c r="B15" s="20">
        <v>2</v>
      </c>
      <c r="C15" s="20">
        <v>1</v>
      </c>
      <c r="D15" s="20"/>
      <c r="E15" s="20">
        <f t="shared" si="0"/>
        <v>3</v>
      </c>
    </row>
    <row r="16" spans="1:6">
      <c r="A16" s="3">
        <v>46101</v>
      </c>
      <c r="B16" s="20">
        <v>2</v>
      </c>
      <c r="C16" s="20">
        <v>1</v>
      </c>
      <c r="D16" s="20">
        <v>1</v>
      </c>
      <c r="E16" s="20">
        <f t="shared" si="0"/>
        <v>4</v>
      </c>
    </row>
    <row r="17" spans="1:28">
      <c r="A17" s="3">
        <v>46104</v>
      </c>
      <c r="B17" s="20"/>
      <c r="C17" s="20">
        <v>2</v>
      </c>
      <c r="D17" s="20">
        <v>1</v>
      </c>
      <c r="E17" s="20">
        <f t="shared" si="0"/>
        <v>3</v>
      </c>
    </row>
    <row r="18" spans="1:28">
      <c r="A18" s="3">
        <v>46105</v>
      </c>
      <c r="B18" s="20">
        <v>1</v>
      </c>
      <c r="C18" s="20">
        <v>2</v>
      </c>
      <c r="D18" s="20">
        <v>1</v>
      </c>
      <c r="E18" s="20">
        <f t="shared" si="0"/>
        <v>4</v>
      </c>
    </row>
    <row r="19" spans="1:28">
      <c r="A19" s="3">
        <v>46106</v>
      </c>
      <c r="B19" s="20">
        <v>2</v>
      </c>
      <c r="C19" s="20"/>
      <c r="D19" s="20"/>
      <c r="E19" s="20">
        <f t="shared" si="0"/>
        <v>2</v>
      </c>
    </row>
    <row r="20" spans="1:28">
      <c r="A20" s="3">
        <v>46107</v>
      </c>
      <c r="B20" s="20">
        <v>1</v>
      </c>
      <c r="C20" s="20">
        <v>1</v>
      </c>
      <c r="D20" s="20"/>
      <c r="E20" s="20">
        <f t="shared" si="0"/>
        <v>2</v>
      </c>
    </row>
    <row r="21" spans="1:28">
      <c r="A21" s="3">
        <v>46108</v>
      </c>
      <c r="B21" s="20">
        <v>1</v>
      </c>
      <c r="C21" s="20"/>
      <c r="D21" s="20"/>
      <c r="E21" s="20">
        <f t="shared" si="0"/>
        <v>1</v>
      </c>
    </row>
    <row r="22" spans="1:28">
      <c r="A22" s="3">
        <v>46111</v>
      </c>
      <c r="B22" s="20">
        <v>1</v>
      </c>
      <c r="C22" s="20">
        <v>2</v>
      </c>
      <c r="D22" s="20">
        <v>1</v>
      </c>
      <c r="E22" s="20">
        <f t="shared" si="0"/>
        <v>4</v>
      </c>
    </row>
    <row r="23" spans="1:28">
      <c r="A23" s="3">
        <v>46112</v>
      </c>
      <c r="B23" s="20">
        <v>2</v>
      </c>
      <c r="C23" s="20">
        <v>1</v>
      </c>
      <c r="D23" s="20">
        <v>2</v>
      </c>
      <c r="E23" s="20">
        <f t="shared" si="0"/>
        <v>5</v>
      </c>
    </row>
    <row r="24" spans="1:28">
      <c r="A24" s="20" t="s">
        <v>430</v>
      </c>
      <c r="B24" s="20">
        <f>SUM(B3:B23)</f>
        <v>30</v>
      </c>
      <c r="C24" s="20">
        <f>SUM(C3:C23)</f>
        <v>21</v>
      </c>
      <c r="D24" s="20">
        <f>SUM(D3:D23)</f>
        <v>11</v>
      </c>
      <c r="E24" s="20"/>
    </row>
    <row r="25" spans="1:28">
      <c r="D25" s="20" t="s">
        <v>430</v>
      </c>
      <c r="E25" s="20">
        <f>SUM(E3:E23)</f>
        <v>62</v>
      </c>
    </row>
    <row r="28" spans="1:28" ht="159.75" customHeight="1">
      <c r="A28" s="102" t="s">
        <v>1</v>
      </c>
      <c r="B28" s="102" t="s">
        <v>5</v>
      </c>
      <c r="C28" s="11" t="s">
        <v>6</v>
      </c>
      <c r="D28" s="102" t="s">
        <v>7</v>
      </c>
      <c r="E28" s="102" t="s">
        <v>8</v>
      </c>
      <c r="F28" s="1" t="s">
        <v>275</v>
      </c>
      <c r="G28" s="1" t="s">
        <v>10</v>
      </c>
      <c r="H28" s="2" t="s">
        <v>11</v>
      </c>
      <c r="I28" s="102" t="s">
        <v>12</v>
      </c>
      <c r="J28" s="1" t="s">
        <v>13</v>
      </c>
      <c r="K28" s="102" t="s">
        <v>12</v>
      </c>
      <c r="L28" s="1" t="s">
        <v>14</v>
      </c>
      <c r="M28" s="1" t="s">
        <v>15</v>
      </c>
      <c r="N28" s="1" t="s">
        <v>16</v>
      </c>
      <c r="O28" s="1" t="s">
        <v>17</v>
      </c>
      <c r="P28" s="1" t="s">
        <v>18</v>
      </c>
      <c r="Q28" s="102" t="s">
        <v>19</v>
      </c>
      <c r="R28" s="102" t="s">
        <v>20</v>
      </c>
      <c r="S28" s="102" t="s">
        <v>21</v>
      </c>
      <c r="T28" s="1" t="s">
        <v>22</v>
      </c>
      <c r="U28" s="1" t="s">
        <v>23</v>
      </c>
      <c r="V28" s="1" t="s">
        <v>24</v>
      </c>
      <c r="W28" s="1" t="s">
        <v>25</v>
      </c>
      <c r="X28" s="1" t="s">
        <v>26</v>
      </c>
      <c r="Y28" s="1" t="s">
        <v>27</v>
      </c>
      <c r="Z28" s="1" t="s">
        <v>28</v>
      </c>
      <c r="AA28" s="1" t="s">
        <v>29</v>
      </c>
      <c r="AB28" s="1" t="s">
        <v>431</v>
      </c>
    </row>
    <row r="29" spans="1:28">
      <c r="A29" s="3">
        <v>46083</v>
      </c>
      <c r="B29" s="20" t="s">
        <v>432</v>
      </c>
      <c r="C29" s="20">
        <v>9840252624</v>
      </c>
      <c r="D29" s="20" t="s">
        <v>433</v>
      </c>
      <c r="E29" s="21" t="s">
        <v>86</v>
      </c>
      <c r="F29" s="20" t="s">
        <v>33</v>
      </c>
      <c r="G29" s="20" t="s">
        <v>33</v>
      </c>
      <c r="H29" s="20"/>
      <c r="I29" s="20"/>
      <c r="J29" s="20"/>
      <c r="K29" s="20"/>
      <c r="L29" s="20" t="s">
        <v>33</v>
      </c>
      <c r="M29" s="20" t="s">
        <v>33</v>
      </c>
      <c r="N29" s="20" t="s">
        <v>33</v>
      </c>
      <c r="O29" s="4" t="s">
        <v>33</v>
      </c>
      <c r="P29" s="4" t="s">
        <v>33</v>
      </c>
      <c r="Q29" s="20" t="s">
        <v>205</v>
      </c>
      <c r="R29" s="20" t="s">
        <v>434</v>
      </c>
      <c r="S29" s="20" t="s">
        <v>435</v>
      </c>
      <c r="T29" s="20" t="s">
        <v>33</v>
      </c>
      <c r="U29" s="20"/>
      <c r="V29" s="20"/>
      <c r="W29" s="20"/>
      <c r="X29" s="20"/>
      <c r="Y29" s="20"/>
      <c r="Z29" s="20"/>
      <c r="AA29" s="20"/>
      <c r="AB29" s="20"/>
    </row>
    <row r="30" spans="1:28">
      <c r="A30" s="3">
        <v>46083</v>
      </c>
      <c r="B30" s="20" t="s">
        <v>436</v>
      </c>
      <c r="C30" s="20">
        <v>9840040723</v>
      </c>
      <c r="D30" s="20" t="s">
        <v>437</v>
      </c>
      <c r="E30" s="21" t="s">
        <v>25</v>
      </c>
      <c r="F30" s="20" t="s">
        <v>62</v>
      </c>
      <c r="G30" s="20" t="s">
        <v>33</v>
      </c>
      <c r="H30" s="20"/>
      <c r="I30" s="20"/>
      <c r="J30" s="20"/>
      <c r="K30" s="20"/>
      <c r="L30" s="20" t="s">
        <v>37</v>
      </c>
      <c r="M30" s="20" t="s">
        <v>33</v>
      </c>
      <c r="N30" s="20" t="s">
        <v>33</v>
      </c>
      <c r="O30" s="4" t="s">
        <v>33</v>
      </c>
      <c r="P30" s="4" t="s">
        <v>33</v>
      </c>
      <c r="Q30" s="20" t="s">
        <v>438</v>
      </c>
      <c r="R30" s="20" t="s">
        <v>439</v>
      </c>
      <c r="S30" s="20" t="s">
        <v>440</v>
      </c>
      <c r="T30" s="4" t="s">
        <v>40</v>
      </c>
      <c r="U30" s="20"/>
      <c r="V30" s="20"/>
      <c r="W30" s="20"/>
      <c r="X30" s="20"/>
      <c r="Y30" s="20"/>
      <c r="Z30" s="20"/>
      <c r="AA30" s="20"/>
      <c r="AB30" s="20"/>
    </row>
    <row r="31" spans="1:28">
      <c r="A31" s="3">
        <v>46083</v>
      </c>
      <c r="B31" s="20" t="s">
        <v>441</v>
      </c>
      <c r="C31" s="20">
        <v>8754628872</v>
      </c>
      <c r="D31" s="20" t="s">
        <v>442</v>
      </c>
      <c r="E31" s="21" t="s">
        <v>48</v>
      </c>
      <c r="F31" s="20" t="s">
        <v>33</v>
      </c>
      <c r="G31" s="20" t="s">
        <v>33</v>
      </c>
      <c r="H31" s="20"/>
      <c r="I31" s="20"/>
      <c r="J31" s="20"/>
      <c r="K31" s="20"/>
      <c r="L31" s="20" t="s">
        <v>33</v>
      </c>
      <c r="M31" s="20" t="s">
        <v>33</v>
      </c>
      <c r="N31" s="20" t="s">
        <v>33</v>
      </c>
      <c r="O31" s="4" t="s">
        <v>33</v>
      </c>
      <c r="P31" s="4" t="s">
        <v>33</v>
      </c>
      <c r="Q31" s="20" t="s">
        <v>443</v>
      </c>
      <c r="R31" s="20" t="s">
        <v>444</v>
      </c>
      <c r="S31" s="20"/>
      <c r="T31" s="20"/>
      <c r="U31" s="20"/>
      <c r="V31" s="20"/>
      <c r="W31" s="20"/>
      <c r="X31" s="20"/>
      <c r="Y31" s="20"/>
      <c r="Z31" s="20"/>
      <c r="AA31" s="20"/>
      <c r="AB31" s="20"/>
    </row>
    <row r="32" spans="1:28">
      <c r="A32" s="3">
        <v>46083</v>
      </c>
      <c r="B32" s="20" t="s">
        <v>445</v>
      </c>
      <c r="C32" s="20">
        <v>8144676321</v>
      </c>
      <c r="D32" s="20" t="s">
        <v>446</v>
      </c>
      <c r="E32" s="21" t="s">
        <v>447</v>
      </c>
      <c r="F32" s="20" t="s">
        <v>33</v>
      </c>
      <c r="G32" s="20" t="s">
        <v>33</v>
      </c>
      <c r="H32" s="20"/>
      <c r="I32" s="20"/>
      <c r="J32" s="20"/>
      <c r="K32" s="20"/>
      <c r="L32" s="20" t="s">
        <v>33</v>
      </c>
      <c r="M32" s="20" t="s">
        <v>33</v>
      </c>
      <c r="N32" s="20" t="s">
        <v>33</v>
      </c>
      <c r="O32" s="4" t="s">
        <v>33</v>
      </c>
      <c r="P32" s="4" t="s">
        <v>33</v>
      </c>
      <c r="Q32" s="20" t="s">
        <v>448</v>
      </c>
      <c r="R32" s="20" t="s">
        <v>449</v>
      </c>
      <c r="S32" s="20" t="s">
        <v>450</v>
      </c>
      <c r="T32" s="20" t="s">
        <v>33</v>
      </c>
      <c r="U32" s="20"/>
      <c r="V32" s="20"/>
      <c r="W32" s="20"/>
      <c r="X32" s="20"/>
      <c r="Y32" s="20" t="s">
        <v>33</v>
      </c>
      <c r="Z32" s="20"/>
      <c r="AA32" s="20"/>
      <c r="AB32" s="20"/>
    </row>
    <row r="33" spans="1:28">
      <c r="A33" s="3">
        <v>46084</v>
      </c>
      <c r="B33" s="20" t="s">
        <v>451</v>
      </c>
      <c r="C33" s="20">
        <v>9940463628</v>
      </c>
      <c r="D33" s="20" t="s">
        <v>452</v>
      </c>
      <c r="E33" s="21" t="s">
        <v>25</v>
      </c>
      <c r="F33" s="20" t="s">
        <v>33</v>
      </c>
      <c r="G33" s="20" t="s">
        <v>33</v>
      </c>
      <c r="H33" s="20"/>
      <c r="I33" s="20"/>
      <c r="J33" s="20"/>
      <c r="K33" s="20"/>
      <c r="L33" s="20" t="s">
        <v>33</v>
      </c>
      <c r="M33" s="20" t="s">
        <v>33</v>
      </c>
      <c r="N33" s="20" t="s">
        <v>33</v>
      </c>
      <c r="O33" s="4" t="s">
        <v>33</v>
      </c>
      <c r="P33" s="4" t="s">
        <v>33</v>
      </c>
      <c r="Q33" s="20" t="s">
        <v>453</v>
      </c>
      <c r="R33" s="20" t="s">
        <v>454</v>
      </c>
      <c r="S33" s="20" t="s">
        <v>455</v>
      </c>
      <c r="T33" s="4" t="s">
        <v>40</v>
      </c>
      <c r="U33" s="20"/>
      <c r="V33" s="20"/>
      <c r="W33" s="20"/>
      <c r="X33" s="20"/>
      <c r="Y33" s="20"/>
      <c r="Z33" s="20"/>
      <c r="AA33" s="20"/>
      <c r="AB33" s="20"/>
    </row>
    <row r="34" spans="1:28">
      <c r="A34" s="3">
        <v>46084</v>
      </c>
      <c r="B34" s="20" t="s">
        <v>456</v>
      </c>
      <c r="C34" s="20">
        <v>6398774572</v>
      </c>
      <c r="D34" s="20" t="s">
        <v>457</v>
      </c>
      <c r="E34" s="21" t="s">
        <v>48</v>
      </c>
      <c r="F34" s="20" t="s">
        <v>33</v>
      </c>
      <c r="G34" s="61" t="s">
        <v>37</v>
      </c>
      <c r="H34" s="20"/>
      <c r="I34" s="20"/>
      <c r="J34" s="20"/>
      <c r="K34" s="20"/>
      <c r="L34" s="20" t="s">
        <v>33</v>
      </c>
      <c r="M34" s="20" t="s">
        <v>33</v>
      </c>
      <c r="N34" s="20" t="s">
        <v>33</v>
      </c>
      <c r="O34" s="4" t="s">
        <v>33</v>
      </c>
      <c r="P34" s="4" t="s">
        <v>33</v>
      </c>
      <c r="Q34" s="20" t="s">
        <v>342</v>
      </c>
      <c r="R34" s="20" t="s">
        <v>342</v>
      </c>
      <c r="S34" s="20" t="s">
        <v>458</v>
      </c>
      <c r="T34" s="4" t="s">
        <v>40</v>
      </c>
      <c r="U34" s="20"/>
      <c r="V34" s="20"/>
      <c r="W34" s="20"/>
      <c r="X34" s="20"/>
      <c r="Y34" s="20"/>
      <c r="Z34" s="20"/>
      <c r="AA34" s="20"/>
      <c r="AB34" s="20"/>
    </row>
    <row r="35" spans="1:28">
      <c r="A35" s="3">
        <v>46084</v>
      </c>
      <c r="B35" s="20" t="s">
        <v>459</v>
      </c>
      <c r="C35" s="20">
        <v>9895629931</v>
      </c>
      <c r="D35" s="20" t="s">
        <v>460</v>
      </c>
      <c r="E35" s="21" t="s">
        <v>251</v>
      </c>
      <c r="F35" s="20" t="s">
        <v>33</v>
      </c>
      <c r="G35" s="61" t="s">
        <v>37</v>
      </c>
      <c r="H35" s="20"/>
      <c r="I35" s="20"/>
      <c r="J35" s="20"/>
      <c r="K35" s="20"/>
      <c r="L35" s="20" t="s">
        <v>33</v>
      </c>
      <c r="M35" s="20" t="s">
        <v>33</v>
      </c>
      <c r="N35" s="20" t="s">
        <v>33</v>
      </c>
      <c r="O35" s="4" t="s">
        <v>33</v>
      </c>
      <c r="P35" s="4" t="s">
        <v>33</v>
      </c>
      <c r="Q35" s="20" t="s">
        <v>342</v>
      </c>
      <c r="R35" s="20" t="s">
        <v>342</v>
      </c>
      <c r="S35" s="20" t="s">
        <v>461</v>
      </c>
      <c r="T35" s="20" t="s">
        <v>33</v>
      </c>
      <c r="U35" s="20"/>
      <c r="V35" s="20"/>
      <c r="W35" s="20" t="s">
        <v>33</v>
      </c>
      <c r="X35" s="20"/>
      <c r="Y35" s="20"/>
      <c r="Z35" s="20" t="s">
        <v>33</v>
      </c>
      <c r="AA35" s="20"/>
      <c r="AB35" s="20"/>
    </row>
    <row r="36" spans="1:28">
      <c r="A36" s="3">
        <v>46085</v>
      </c>
      <c r="B36" s="20" t="s">
        <v>462</v>
      </c>
      <c r="C36" s="20">
        <v>7777086681</v>
      </c>
      <c r="D36" s="20" t="s">
        <v>463</v>
      </c>
      <c r="E36" s="21" t="s">
        <v>48</v>
      </c>
      <c r="F36" s="20" t="s">
        <v>62</v>
      </c>
      <c r="G36" s="61" t="s">
        <v>37</v>
      </c>
      <c r="H36" s="20" t="s">
        <v>33</v>
      </c>
      <c r="I36" s="8" t="s">
        <v>464</v>
      </c>
      <c r="J36" s="20"/>
      <c r="K36" s="8"/>
      <c r="L36" s="20" t="s">
        <v>33</v>
      </c>
      <c r="M36" s="20" t="s">
        <v>33</v>
      </c>
      <c r="N36" s="20" t="s">
        <v>33</v>
      </c>
      <c r="O36" s="4" t="s">
        <v>33</v>
      </c>
      <c r="P36" s="4" t="s">
        <v>33</v>
      </c>
      <c r="Q36" s="20" t="s">
        <v>465</v>
      </c>
      <c r="R36" s="20" t="s">
        <v>465</v>
      </c>
      <c r="S36" s="20" t="s">
        <v>466</v>
      </c>
      <c r="T36" s="4" t="s">
        <v>40</v>
      </c>
      <c r="U36" s="20"/>
      <c r="V36" s="20"/>
      <c r="W36" s="20"/>
      <c r="X36" s="20"/>
      <c r="Y36" s="20"/>
      <c r="Z36" s="20"/>
      <c r="AA36" s="20"/>
      <c r="AB36" s="20"/>
    </row>
    <row r="37" spans="1:28">
      <c r="A37" s="3">
        <v>46085</v>
      </c>
      <c r="B37" s="20" t="s">
        <v>414</v>
      </c>
      <c r="C37" s="20">
        <v>9994157238</v>
      </c>
      <c r="D37" s="20" t="s">
        <v>415</v>
      </c>
      <c r="E37" s="21" t="s">
        <v>25</v>
      </c>
      <c r="F37" s="20" t="s">
        <v>33</v>
      </c>
      <c r="G37" s="20" t="s">
        <v>33</v>
      </c>
      <c r="H37" s="20"/>
      <c r="I37" s="20"/>
      <c r="J37" s="20"/>
      <c r="K37" s="20"/>
      <c r="L37" s="20" t="s">
        <v>33</v>
      </c>
      <c r="M37" s="20" t="s">
        <v>33</v>
      </c>
      <c r="N37" s="20" t="s">
        <v>33</v>
      </c>
      <c r="O37" s="4" t="s">
        <v>33</v>
      </c>
      <c r="P37" s="4" t="s">
        <v>33</v>
      </c>
      <c r="Q37" s="20" t="s">
        <v>467</v>
      </c>
      <c r="R37" s="20" t="s">
        <v>468</v>
      </c>
      <c r="S37" s="20" t="s">
        <v>416</v>
      </c>
      <c r="T37" s="4" t="s">
        <v>40</v>
      </c>
      <c r="U37" s="20" t="s">
        <v>33</v>
      </c>
      <c r="V37" s="20" t="s">
        <v>33</v>
      </c>
      <c r="W37" s="20"/>
      <c r="X37" s="20"/>
      <c r="Y37" s="20" t="s">
        <v>33</v>
      </c>
      <c r="Z37" s="20"/>
      <c r="AA37" s="20"/>
      <c r="AB37" s="20"/>
    </row>
    <row r="38" spans="1:28">
      <c r="A38" s="3">
        <v>46086</v>
      </c>
      <c r="B38" s="20" t="s">
        <v>469</v>
      </c>
      <c r="C38" s="20">
        <v>9150742132</v>
      </c>
      <c r="D38" s="20" t="s">
        <v>470</v>
      </c>
      <c r="E38" s="21" t="s">
        <v>43</v>
      </c>
      <c r="F38" s="20" t="s">
        <v>33</v>
      </c>
      <c r="G38" s="21" t="s">
        <v>33</v>
      </c>
      <c r="H38" s="20" t="s">
        <v>300</v>
      </c>
      <c r="I38" s="16" t="s">
        <v>471</v>
      </c>
      <c r="J38" s="20" t="s">
        <v>300</v>
      </c>
      <c r="K38" s="20" t="s">
        <v>304</v>
      </c>
      <c r="L38" s="20" t="s">
        <v>33</v>
      </c>
      <c r="M38" s="20" t="s">
        <v>33</v>
      </c>
      <c r="N38" s="20" t="s">
        <v>33</v>
      </c>
      <c r="O38" s="4" t="s">
        <v>33</v>
      </c>
      <c r="P38" s="4" t="s">
        <v>33</v>
      </c>
      <c r="Q38" s="20" t="s">
        <v>211</v>
      </c>
      <c r="R38" s="20" t="s">
        <v>472</v>
      </c>
      <c r="S38" s="20" t="s">
        <v>473</v>
      </c>
      <c r="T38" s="20" t="s">
        <v>33</v>
      </c>
      <c r="U38" s="20"/>
      <c r="V38" s="20"/>
      <c r="W38" s="20"/>
      <c r="X38" s="20"/>
      <c r="Y38" s="20"/>
      <c r="Z38" s="20"/>
      <c r="AA38" s="20"/>
      <c r="AB38" s="20"/>
    </row>
    <row r="39" spans="1:28">
      <c r="A39" s="3">
        <v>46087</v>
      </c>
      <c r="B39" s="20" t="s">
        <v>474</v>
      </c>
      <c r="C39" s="20">
        <v>9071126016</v>
      </c>
      <c r="D39" s="20" t="s">
        <v>475</v>
      </c>
      <c r="E39" s="21" t="s">
        <v>251</v>
      </c>
      <c r="F39" s="20" t="s">
        <v>33</v>
      </c>
      <c r="G39" s="61" t="s">
        <v>37</v>
      </c>
      <c r="H39" s="20"/>
      <c r="I39" s="20"/>
      <c r="J39" s="20"/>
      <c r="K39" s="20"/>
      <c r="L39" s="20" t="s">
        <v>37</v>
      </c>
      <c r="M39" s="20" t="s">
        <v>33</v>
      </c>
      <c r="N39" s="20" t="s">
        <v>33</v>
      </c>
      <c r="O39" s="4" t="s">
        <v>33</v>
      </c>
      <c r="P39" s="4" t="s">
        <v>33</v>
      </c>
      <c r="Q39" s="20" t="s">
        <v>476</v>
      </c>
      <c r="R39" s="20" t="s">
        <v>477</v>
      </c>
      <c r="S39" s="20" t="s">
        <v>478</v>
      </c>
      <c r="T39" s="20" t="s">
        <v>300</v>
      </c>
      <c r="U39" s="20"/>
      <c r="V39" s="20"/>
      <c r="W39" s="20"/>
      <c r="X39" s="20"/>
      <c r="Y39" s="20"/>
      <c r="Z39" s="20"/>
      <c r="AA39" s="20"/>
      <c r="AB39" s="20"/>
    </row>
    <row r="40" spans="1:28">
      <c r="A40" s="3">
        <v>46087</v>
      </c>
      <c r="B40" s="20" t="s">
        <v>479</v>
      </c>
      <c r="C40" s="20">
        <v>8610532243</v>
      </c>
      <c r="D40" s="20" t="s">
        <v>480</v>
      </c>
      <c r="E40" s="21" t="s">
        <v>86</v>
      </c>
      <c r="F40" s="20" t="s">
        <v>97</v>
      </c>
      <c r="G40" s="20" t="s">
        <v>33</v>
      </c>
      <c r="H40" s="20"/>
      <c r="I40" s="20"/>
      <c r="J40" s="20"/>
      <c r="K40" s="20"/>
      <c r="L40" s="20" t="s">
        <v>33</v>
      </c>
      <c r="M40" s="20" t="s">
        <v>33</v>
      </c>
      <c r="N40" s="20" t="s">
        <v>33</v>
      </c>
      <c r="O40" s="4" t="s">
        <v>33</v>
      </c>
      <c r="P40" s="4" t="s">
        <v>33</v>
      </c>
      <c r="Q40" s="20" t="s">
        <v>424</v>
      </c>
      <c r="R40" s="20" t="s">
        <v>425</v>
      </c>
      <c r="S40" s="20" t="s">
        <v>481</v>
      </c>
      <c r="T40" s="4" t="s">
        <v>40</v>
      </c>
      <c r="U40" s="20"/>
      <c r="V40" s="20"/>
      <c r="W40" s="20"/>
      <c r="X40" s="20"/>
      <c r="Y40" s="20"/>
      <c r="Z40" s="20"/>
      <c r="AA40" s="20"/>
      <c r="AB40" s="20"/>
    </row>
    <row r="41" spans="1:28">
      <c r="A41" s="3">
        <v>46087</v>
      </c>
      <c r="B41" s="20" t="s">
        <v>339</v>
      </c>
      <c r="C41" s="21">
        <v>9080066138</v>
      </c>
      <c r="D41" s="20" t="s">
        <v>340</v>
      </c>
      <c r="E41" s="21" t="s">
        <v>48</v>
      </c>
      <c r="F41" s="20" t="s">
        <v>62</v>
      </c>
      <c r="G41" s="20" t="s">
        <v>33</v>
      </c>
      <c r="H41" s="20" t="s">
        <v>300</v>
      </c>
      <c r="I41" s="16" t="s">
        <v>482</v>
      </c>
      <c r="J41" s="20"/>
      <c r="K41" s="20"/>
      <c r="L41" s="21" t="s">
        <v>37</v>
      </c>
      <c r="M41" s="20" t="s">
        <v>33</v>
      </c>
      <c r="N41" s="20" t="s">
        <v>33</v>
      </c>
      <c r="O41" s="4" t="s">
        <v>33</v>
      </c>
      <c r="P41" s="4" t="s">
        <v>33</v>
      </c>
      <c r="Q41" s="20" t="s">
        <v>465</v>
      </c>
      <c r="R41" s="20" t="s">
        <v>465</v>
      </c>
      <c r="S41" s="20" t="s">
        <v>343</v>
      </c>
      <c r="T41" s="7" t="s">
        <v>40</v>
      </c>
      <c r="U41" s="20"/>
      <c r="V41" s="20"/>
      <c r="W41" s="20"/>
      <c r="X41" s="20"/>
      <c r="Y41" s="20"/>
      <c r="Z41" s="20"/>
      <c r="AA41" s="20"/>
      <c r="AB41" s="20"/>
    </row>
    <row r="42" spans="1:28">
      <c r="A42" s="3">
        <v>46090</v>
      </c>
      <c r="B42" s="20" t="s">
        <v>483</v>
      </c>
      <c r="C42" s="21">
        <v>9345601626</v>
      </c>
      <c r="D42" s="20" t="s">
        <v>484</v>
      </c>
      <c r="E42" s="21" t="s">
        <v>251</v>
      </c>
      <c r="F42" s="20" t="s">
        <v>33</v>
      </c>
      <c r="G42" s="61" t="s">
        <v>37</v>
      </c>
      <c r="H42" s="20" t="s">
        <v>33</v>
      </c>
      <c r="I42" s="16" t="s">
        <v>485</v>
      </c>
      <c r="J42" s="20" t="s">
        <v>33</v>
      </c>
      <c r="K42" s="20" t="s">
        <v>304</v>
      </c>
      <c r="L42" s="21" t="s">
        <v>33</v>
      </c>
      <c r="M42" s="20" t="s">
        <v>33</v>
      </c>
      <c r="N42" s="20" t="s">
        <v>33</v>
      </c>
      <c r="O42" s="4" t="s">
        <v>33</v>
      </c>
      <c r="P42" s="4" t="s">
        <v>33</v>
      </c>
      <c r="Q42" s="20" t="s">
        <v>486</v>
      </c>
      <c r="R42" s="20" t="s">
        <v>487</v>
      </c>
      <c r="S42" s="20" t="s">
        <v>488</v>
      </c>
      <c r="T42" s="4" t="s">
        <v>40</v>
      </c>
      <c r="U42" s="20"/>
      <c r="V42" s="20"/>
      <c r="W42" s="20"/>
      <c r="X42" s="20"/>
      <c r="Y42" s="20" t="s">
        <v>33</v>
      </c>
      <c r="Z42" s="20" t="s">
        <v>33</v>
      </c>
      <c r="AA42" s="20"/>
      <c r="AB42" s="20"/>
    </row>
    <row r="43" spans="1:28">
      <c r="A43" s="3">
        <v>46090</v>
      </c>
      <c r="B43" s="20" t="s">
        <v>414</v>
      </c>
      <c r="C43" s="21">
        <v>9994157238</v>
      </c>
      <c r="D43" s="20" t="s">
        <v>415</v>
      </c>
      <c r="E43" s="21" t="s">
        <v>25</v>
      </c>
      <c r="F43" s="20" t="s">
        <v>62</v>
      </c>
      <c r="G43" s="20" t="s">
        <v>33</v>
      </c>
      <c r="H43" s="20" t="s">
        <v>300</v>
      </c>
      <c r="I43" s="16" t="s">
        <v>423</v>
      </c>
      <c r="J43" s="20" t="s">
        <v>33</v>
      </c>
      <c r="K43" s="36" t="s">
        <v>489</v>
      </c>
      <c r="L43" s="21" t="s">
        <v>33</v>
      </c>
      <c r="M43" s="20" t="s">
        <v>33</v>
      </c>
      <c r="N43" s="20" t="s">
        <v>33</v>
      </c>
      <c r="O43" s="4" t="s">
        <v>33</v>
      </c>
      <c r="P43" s="4" t="s">
        <v>33</v>
      </c>
      <c r="Q43" s="20" t="s">
        <v>424</v>
      </c>
      <c r="R43" s="20" t="s">
        <v>425</v>
      </c>
      <c r="S43" s="20" t="s">
        <v>416</v>
      </c>
      <c r="T43" s="20" t="s">
        <v>33</v>
      </c>
      <c r="U43" s="20" t="s">
        <v>33</v>
      </c>
      <c r="V43" s="20" t="s">
        <v>33</v>
      </c>
      <c r="W43" s="20"/>
      <c r="X43" s="20"/>
      <c r="Y43" s="20" t="s">
        <v>33</v>
      </c>
      <c r="Z43" s="20"/>
      <c r="AA43" s="20"/>
      <c r="AB43" s="20"/>
    </row>
    <row r="44" spans="1:28">
      <c r="A44" s="3">
        <v>46091</v>
      </c>
      <c r="B44" s="20" t="s">
        <v>490</v>
      </c>
      <c r="C44" s="21">
        <v>9384522819</v>
      </c>
      <c r="D44" s="37" t="s">
        <v>491</v>
      </c>
      <c r="E44" s="21" t="s">
        <v>86</v>
      </c>
      <c r="F44" s="20" t="s">
        <v>33</v>
      </c>
      <c r="G44" s="20" t="s">
        <v>33</v>
      </c>
      <c r="H44" s="20"/>
      <c r="I44" s="20"/>
      <c r="J44" s="20"/>
      <c r="K44" s="20"/>
      <c r="L44" s="21" t="s">
        <v>33</v>
      </c>
      <c r="M44" s="20" t="s">
        <v>33</v>
      </c>
      <c r="N44" s="20" t="s">
        <v>33</v>
      </c>
      <c r="O44" s="4" t="s">
        <v>33</v>
      </c>
      <c r="P44" s="4" t="s">
        <v>33</v>
      </c>
      <c r="Q44" s="20" t="s">
        <v>492</v>
      </c>
      <c r="R44" s="20" t="s">
        <v>493</v>
      </c>
      <c r="S44" s="20" t="s">
        <v>494</v>
      </c>
      <c r="T44" s="4" t="s">
        <v>40</v>
      </c>
      <c r="U44" s="20"/>
      <c r="V44" s="20"/>
      <c r="W44" s="20"/>
      <c r="X44" s="20"/>
      <c r="Y44" s="20"/>
      <c r="Z44" s="20"/>
      <c r="AA44" s="20"/>
      <c r="AB44" s="20"/>
    </row>
    <row r="45" spans="1:28">
      <c r="A45" s="3">
        <v>46091</v>
      </c>
      <c r="B45" s="20" t="s">
        <v>495</v>
      </c>
      <c r="C45" s="21">
        <v>6302022053</v>
      </c>
      <c r="D45" s="37" t="s">
        <v>496</v>
      </c>
      <c r="E45" s="21" t="s">
        <v>48</v>
      </c>
      <c r="F45" s="20" t="s">
        <v>62</v>
      </c>
      <c r="G45" s="61" t="s">
        <v>37</v>
      </c>
      <c r="H45" s="20"/>
      <c r="I45" s="20"/>
      <c r="J45" s="20"/>
      <c r="K45" s="20"/>
      <c r="L45" s="21" t="s">
        <v>33</v>
      </c>
      <c r="M45" s="20" t="s">
        <v>33</v>
      </c>
      <c r="N45" s="20" t="s">
        <v>33</v>
      </c>
      <c r="O45" s="4" t="s">
        <v>33</v>
      </c>
      <c r="P45" s="4" t="s">
        <v>33</v>
      </c>
      <c r="Q45" s="20"/>
      <c r="R45" s="20"/>
      <c r="S45" s="20"/>
      <c r="T45" s="20"/>
      <c r="U45" s="20"/>
      <c r="V45" s="20"/>
      <c r="W45" s="20"/>
      <c r="X45" s="20"/>
      <c r="Y45" s="20"/>
      <c r="Z45" s="20"/>
      <c r="AA45" s="20"/>
      <c r="AB45" s="20"/>
    </row>
    <row r="46" spans="1:28">
      <c r="A46" s="3">
        <v>46091</v>
      </c>
      <c r="B46" s="20" t="s">
        <v>497</v>
      </c>
      <c r="C46" s="21">
        <v>9477835930</v>
      </c>
      <c r="D46" s="37" t="s">
        <v>498</v>
      </c>
      <c r="E46" s="21" t="s">
        <v>48</v>
      </c>
      <c r="F46" s="20" t="s">
        <v>97</v>
      </c>
      <c r="G46" s="61" t="s">
        <v>37</v>
      </c>
      <c r="H46" s="20"/>
      <c r="I46" s="20"/>
      <c r="J46" s="20"/>
      <c r="K46" s="20"/>
      <c r="L46" s="21" t="s">
        <v>37</v>
      </c>
      <c r="M46" s="20" t="s">
        <v>33</v>
      </c>
      <c r="N46" s="20" t="s">
        <v>33</v>
      </c>
      <c r="O46" s="4" t="s">
        <v>33</v>
      </c>
      <c r="P46" s="4" t="s">
        <v>33</v>
      </c>
      <c r="Q46" s="20" t="s">
        <v>499</v>
      </c>
      <c r="R46" s="20" t="s">
        <v>499</v>
      </c>
      <c r="S46" s="20" t="s">
        <v>500</v>
      </c>
      <c r="T46" s="20" t="s">
        <v>33</v>
      </c>
      <c r="U46" s="20"/>
      <c r="V46" s="20"/>
      <c r="W46" s="20"/>
      <c r="X46" s="20"/>
      <c r="Y46" s="20"/>
      <c r="Z46" s="20"/>
      <c r="AA46" s="20"/>
      <c r="AB46" s="20"/>
    </row>
    <row r="47" spans="1:28">
      <c r="A47" s="3">
        <v>46092</v>
      </c>
      <c r="B47" s="37" t="s">
        <v>501</v>
      </c>
      <c r="C47" s="21">
        <v>9842931841</v>
      </c>
      <c r="D47" s="37" t="s">
        <v>502</v>
      </c>
      <c r="E47" s="21" t="s">
        <v>48</v>
      </c>
      <c r="F47" s="20" t="s">
        <v>33</v>
      </c>
      <c r="G47" s="20" t="s">
        <v>33</v>
      </c>
      <c r="H47" s="20" t="s">
        <v>33</v>
      </c>
      <c r="I47" s="16" t="s">
        <v>67</v>
      </c>
      <c r="J47" s="20" t="s">
        <v>33</v>
      </c>
      <c r="K47" s="20" t="s">
        <v>341</v>
      </c>
      <c r="L47" s="20" t="s">
        <v>33</v>
      </c>
      <c r="M47" s="20" t="s">
        <v>33</v>
      </c>
      <c r="N47" s="20" t="s">
        <v>33</v>
      </c>
      <c r="O47" s="4" t="s">
        <v>33</v>
      </c>
      <c r="P47" s="4" t="s">
        <v>33</v>
      </c>
      <c r="Q47" s="20" t="s">
        <v>503</v>
      </c>
      <c r="R47" s="20" t="s">
        <v>504</v>
      </c>
      <c r="S47" s="20" t="s">
        <v>505</v>
      </c>
      <c r="T47" s="7" t="s">
        <v>40</v>
      </c>
      <c r="U47" s="20"/>
      <c r="V47" s="20"/>
      <c r="W47" s="20"/>
      <c r="X47" s="20"/>
      <c r="Y47" s="20"/>
      <c r="Z47" s="20" t="s">
        <v>33</v>
      </c>
      <c r="AA47" s="20"/>
      <c r="AB47" s="20"/>
    </row>
    <row r="48" spans="1:28">
      <c r="A48" s="3">
        <v>46092</v>
      </c>
      <c r="B48" s="37" t="s">
        <v>506</v>
      </c>
      <c r="C48" s="21">
        <v>413979691</v>
      </c>
      <c r="D48" s="37" t="s">
        <v>507</v>
      </c>
      <c r="E48" s="21" t="s">
        <v>86</v>
      </c>
      <c r="F48" s="20" t="s">
        <v>97</v>
      </c>
      <c r="G48" s="61" t="s">
        <v>37</v>
      </c>
      <c r="H48" s="20"/>
      <c r="I48" s="20"/>
      <c r="J48" s="20"/>
      <c r="K48" s="20"/>
      <c r="L48" s="21" t="s">
        <v>37</v>
      </c>
      <c r="M48" s="20" t="s">
        <v>36</v>
      </c>
      <c r="N48" s="20" t="s">
        <v>33</v>
      </c>
      <c r="O48" s="20"/>
      <c r="P48" s="4" t="s">
        <v>33</v>
      </c>
      <c r="Q48" s="20" t="s">
        <v>508</v>
      </c>
      <c r="R48" s="20" t="s">
        <v>509</v>
      </c>
      <c r="S48" s="20" t="s">
        <v>510</v>
      </c>
      <c r="T48" s="4" t="s">
        <v>40</v>
      </c>
      <c r="U48" s="20"/>
      <c r="V48" s="20" t="s">
        <v>33</v>
      </c>
      <c r="W48" s="20"/>
      <c r="X48" s="20"/>
      <c r="Y48" s="20" t="s">
        <v>33</v>
      </c>
      <c r="Z48" s="20"/>
      <c r="AA48" s="20"/>
      <c r="AB48" s="20"/>
    </row>
    <row r="49" spans="1:28">
      <c r="A49" s="3">
        <v>46093</v>
      </c>
      <c r="B49" s="37" t="s">
        <v>30</v>
      </c>
      <c r="C49" s="21">
        <v>8105047843</v>
      </c>
      <c r="D49" s="37" t="s">
        <v>31</v>
      </c>
      <c r="E49" s="21" t="s">
        <v>251</v>
      </c>
      <c r="F49" s="20" t="s">
        <v>62</v>
      </c>
      <c r="G49" s="61" t="s">
        <v>37</v>
      </c>
      <c r="H49" s="20"/>
      <c r="I49" s="20"/>
      <c r="J49" s="20"/>
      <c r="K49" s="20"/>
      <c r="L49" s="21" t="s">
        <v>37</v>
      </c>
      <c r="M49" s="20" t="s">
        <v>33</v>
      </c>
      <c r="N49" s="20" t="s">
        <v>33</v>
      </c>
      <c r="O49" s="4" t="s">
        <v>33</v>
      </c>
      <c r="P49" s="4" t="s">
        <v>33</v>
      </c>
      <c r="Q49" s="20" t="s">
        <v>511</v>
      </c>
      <c r="R49" s="20" t="s">
        <v>38</v>
      </c>
      <c r="S49" s="20" t="s">
        <v>289</v>
      </c>
      <c r="T49" s="20" t="s">
        <v>33</v>
      </c>
      <c r="U49" s="20"/>
      <c r="V49" s="20"/>
      <c r="W49" s="20"/>
      <c r="X49" s="20"/>
      <c r="Y49" s="20"/>
      <c r="Z49" s="20"/>
      <c r="AA49" s="20"/>
      <c r="AB49" s="20"/>
    </row>
    <row r="50" spans="1:28">
      <c r="A50" s="3">
        <v>46093</v>
      </c>
      <c r="B50" s="37" t="s">
        <v>445</v>
      </c>
      <c r="C50" s="21">
        <v>8144676321</v>
      </c>
      <c r="D50" s="37" t="s">
        <v>446</v>
      </c>
      <c r="E50" s="21" t="s">
        <v>447</v>
      </c>
      <c r="F50" s="20" t="s">
        <v>62</v>
      </c>
      <c r="G50" s="20" t="s">
        <v>33</v>
      </c>
      <c r="H50" s="20"/>
      <c r="I50" s="20"/>
      <c r="J50" s="20"/>
      <c r="K50" s="20"/>
      <c r="L50" s="21" t="s">
        <v>33</v>
      </c>
      <c r="M50" s="20" t="s">
        <v>33</v>
      </c>
      <c r="N50" s="20" t="s">
        <v>33</v>
      </c>
      <c r="O50" s="4" t="s">
        <v>33</v>
      </c>
      <c r="P50" s="4" t="s">
        <v>33</v>
      </c>
      <c r="Q50" s="20" t="s">
        <v>448</v>
      </c>
      <c r="R50" s="20" t="s">
        <v>512</v>
      </c>
      <c r="S50" s="20" t="s">
        <v>450</v>
      </c>
      <c r="T50" s="20" t="s">
        <v>33</v>
      </c>
      <c r="U50" s="20"/>
      <c r="V50" s="20"/>
      <c r="W50" s="20"/>
      <c r="X50" s="20"/>
      <c r="Y50" s="20" t="s">
        <v>33</v>
      </c>
      <c r="Z50" s="20"/>
      <c r="AA50" s="20"/>
      <c r="AB50" s="20"/>
    </row>
    <row r="51" spans="1:28">
      <c r="A51" s="3">
        <v>46093</v>
      </c>
      <c r="B51" s="37" t="s">
        <v>513</v>
      </c>
      <c r="C51" s="21">
        <v>9840176338</v>
      </c>
      <c r="D51" s="37" t="s">
        <v>514</v>
      </c>
      <c r="E51" s="21" t="s">
        <v>25</v>
      </c>
      <c r="F51" s="20" t="s">
        <v>33</v>
      </c>
      <c r="G51" s="20" t="s">
        <v>33</v>
      </c>
      <c r="H51" s="20"/>
      <c r="I51" s="20"/>
      <c r="J51" s="20"/>
      <c r="K51" s="20"/>
      <c r="L51" s="21" t="s">
        <v>33</v>
      </c>
      <c r="M51" s="20" t="s">
        <v>33</v>
      </c>
      <c r="N51" s="20" t="s">
        <v>33</v>
      </c>
      <c r="O51" s="4" t="s">
        <v>33</v>
      </c>
      <c r="P51" s="4" t="s">
        <v>33</v>
      </c>
      <c r="Q51" s="20" t="s">
        <v>515</v>
      </c>
      <c r="R51" s="20" t="s">
        <v>516</v>
      </c>
      <c r="S51" s="20" t="s">
        <v>517</v>
      </c>
      <c r="T51" s="4" t="s">
        <v>40</v>
      </c>
      <c r="U51" s="20" t="s">
        <v>33</v>
      </c>
      <c r="V51" s="20"/>
      <c r="W51" s="20"/>
      <c r="X51" s="20"/>
      <c r="Y51" s="20"/>
      <c r="Z51" s="20"/>
      <c r="AA51" s="20"/>
      <c r="AB51" s="20"/>
    </row>
    <row r="52" spans="1:28">
      <c r="A52" s="3">
        <v>46094</v>
      </c>
      <c r="B52" s="20" t="s">
        <v>518</v>
      </c>
      <c r="C52" s="21">
        <v>6383901780</v>
      </c>
      <c r="D52" s="20" t="s">
        <v>519</v>
      </c>
      <c r="E52" s="21" t="s">
        <v>48</v>
      </c>
      <c r="F52" s="20" t="s">
        <v>33</v>
      </c>
      <c r="G52" s="20" t="s">
        <v>33</v>
      </c>
      <c r="H52" s="20"/>
      <c r="I52" s="20"/>
      <c r="J52" s="20"/>
      <c r="K52" s="20"/>
      <c r="L52" s="21" t="s">
        <v>33</v>
      </c>
      <c r="M52" s="20" t="s">
        <v>33</v>
      </c>
      <c r="N52" s="20" t="s">
        <v>33</v>
      </c>
      <c r="O52" s="4" t="s">
        <v>33</v>
      </c>
      <c r="P52" s="4" t="s">
        <v>33</v>
      </c>
      <c r="Q52" s="20" t="s">
        <v>342</v>
      </c>
      <c r="R52" s="20" t="s">
        <v>342</v>
      </c>
      <c r="S52" s="20" t="s">
        <v>520</v>
      </c>
      <c r="T52" s="20" t="s">
        <v>33</v>
      </c>
      <c r="U52" s="20"/>
      <c r="V52" s="20"/>
      <c r="W52" s="20"/>
      <c r="X52" s="20"/>
      <c r="Y52" s="20"/>
      <c r="Z52" s="20"/>
      <c r="AA52" s="20"/>
      <c r="AB52" s="20"/>
    </row>
    <row r="53" spans="1:28">
      <c r="A53" s="3">
        <v>46094</v>
      </c>
      <c r="B53" s="20" t="s">
        <v>445</v>
      </c>
      <c r="C53" s="20">
        <v>8144676321</v>
      </c>
      <c r="D53" s="20" t="s">
        <v>446</v>
      </c>
      <c r="E53" s="21" t="s">
        <v>447</v>
      </c>
      <c r="F53" s="20" t="s">
        <v>62</v>
      </c>
      <c r="G53" s="20" t="s">
        <v>33</v>
      </c>
      <c r="H53" s="20"/>
      <c r="I53" s="20"/>
      <c r="J53" s="20"/>
      <c r="K53" s="20"/>
      <c r="L53" s="20" t="s">
        <v>33</v>
      </c>
      <c r="M53" s="20" t="s">
        <v>33</v>
      </c>
      <c r="N53" s="20" t="s">
        <v>33</v>
      </c>
      <c r="O53" s="4" t="s">
        <v>33</v>
      </c>
      <c r="P53" s="4" t="s">
        <v>33</v>
      </c>
      <c r="Q53" s="20" t="s">
        <v>448</v>
      </c>
      <c r="R53" s="20" t="s">
        <v>449</v>
      </c>
      <c r="S53" s="20" t="s">
        <v>450</v>
      </c>
      <c r="T53" s="20" t="s">
        <v>33</v>
      </c>
      <c r="U53" s="20"/>
      <c r="V53" s="20" t="s">
        <v>33</v>
      </c>
      <c r="W53" s="20"/>
      <c r="X53" s="20"/>
      <c r="Y53" s="20" t="s">
        <v>33</v>
      </c>
      <c r="Z53" s="20"/>
      <c r="AA53" s="20"/>
      <c r="AB53" s="20"/>
    </row>
    <row r="54" spans="1:28">
      <c r="A54" s="3">
        <v>46094</v>
      </c>
      <c r="B54" s="20" t="s">
        <v>521</v>
      </c>
      <c r="C54" s="21">
        <v>9940012536</v>
      </c>
      <c r="D54" s="20" t="s">
        <v>522</v>
      </c>
      <c r="E54" s="21" t="s">
        <v>86</v>
      </c>
      <c r="F54" s="20" t="s">
        <v>33</v>
      </c>
      <c r="G54" s="20" t="s">
        <v>33</v>
      </c>
      <c r="H54" s="20" t="s">
        <v>33</v>
      </c>
      <c r="I54" s="8" t="s">
        <v>523</v>
      </c>
      <c r="J54" s="20" t="s">
        <v>33</v>
      </c>
      <c r="K54" s="20" t="s">
        <v>304</v>
      </c>
      <c r="L54" s="21" t="s">
        <v>33</v>
      </c>
      <c r="M54" s="20" t="s">
        <v>33</v>
      </c>
      <c r="N54" s="20" t="s">
        <v>33</v>
      </c>
      <c r="O54" s="4" t="s">
        <v>33</v>
      </c>
      <c r="P54" s="4" t="s">
        <v>33</v>
      </c>
      <c r="Q54" s="20" t="s">
        <v>524</v>
      </c>
      <c r="R54" s="20" t="s">
        <v>525</v>
      </c>
      <c r="S54" s="20" t="s">
        <v>526</v>
      </c>
      <c r="T54" s="4" t="s">
        <v>40</v>
      </c>
      <c r="U54" s="20"/>
      <c r="V54" s="20"/>
      <c r="W54" s="20"/>
      <c r="X54" s="20"/>
      <c r="Y54" s="20"/>
      <c r="Z54" s="20"/>
      <c r="AA54" s="20"/>
      <c r="AB54" s="20"/>
    </row>
    <row r="55" spans="1:28">
      <c r="A55" s="3">
        <v>46094</v>
      </c>
      <c r="B55" s="20" t="s">
        <v>370</v>
      </c>
      <c r="C55" s="21">
        <v>6300802651</v>
      </c>
      <c r="D55" s="20" t="s">
        <v>371</v>
      </c>
      <c r="E55" s="21" t="s">
        <v>48</v>
      </c>
      <c r="F55" s="20" t="s">
        <v>62</v>
      </c>
      <c r="G55" s="20" t="s">
        <v>33</v>
      </c>
      <c r="H55" s="20"/>
      <c r="I55" s="20"/>
      <c r="J55" s="20"/>
      <c r="K55" s="20"/>
      <c r="L55" s="21" t="s">
        <v>33</v>
      </c>
      <c r="M55" s="20" t="s">
        <v>33</v>
      </c>
      <c r="N55" s="20" t="s">
        <v>33</v>
      </c>
      <c r="O55" s="4" t="s">
        <v>33</v>
      </c>
      <c r="P55" s="4" t="s">
        <v>33</v>
      </c>
      <c r="Q55" s="20" t="s">
        <v>527</v>
      </c>
      <c r="R55" s="20" t="s">
        <v>528</v>
      </c>
      <c r="S55" s="20" t="s">
        <v>372</v>
      </c>
      <c r="T55" s="7" t="s">
        <v>40</v>
      </c>
      <c r="U55" s="20"/>
      <c r="V55" s="20"/>
      <c r="W55" s="20"/>
      <c r="X55" s="20"/>
      <c r="Y55" s="20"/>
      <c r="Z55" s="20"/>
      <c r="AA55" s="20"/>
      <c r="AB55" s="20"/>
    </row>
    <row r="56" spans="1:28">
      <c r="A56" s="3">
        <v>46097</v>
      </c>
      <c r="B56" s="20" t="s">
        <v>529</v>
      </c>
      <c r="C56" s="21">
        <v>9600515056</v>
      </c>
      <c r="D56" s="20" t="s">
        <v>530</v>
      </c>
      <c r="E56" s="21" t="s">
        <v>86</v>
      </c>
      <c r="F56" s="20" t="s">
        <v>33</v>
      </c>
      <c r="G56" s="61" t="s">
        <v>37</v>
      </c>
      <c r="H56" s="20"/>
      <c r="I56" s="20"/>
      <c r="J56" s="20"/>
      <c r="K56" s="20"/>
      <c r="L56" s="21" t="s">
        <v>37</v>
      </c>
      <c r="M56" s="20" t="s">
        <v>33</v>
      </c>
      <c r="N56" s="20" t="s">
        <v>33</v>
      </c>
      <c r="O56" s="4" t="s">
        <v>33</v>
      </c>
      <c r="P56" s="4" t="s">
        <v>33</v>
      </c>
      <c r="Q56" s="20" t="s">
        <v>448</v>
      </c>
      <c r="R56" s="20" t="s">
        <v>512</v>
      </c>
      <c r="S56" s="20" t="s">
        <v>531</v>
      </c>
      <c r="T56" s="20" t="s">
        <v>33</v>
      </c>
      <c r="U56" s="20"/>
      <c r="V56" s="20"/>
      <c r="W56" s="20"/>
      <c r="X56" s="20"/>
      <c r="Y56" s="20"/>
      <c r="Z56" s="20"/>
      <c r="AA56" s="20"/>
      <c r="AB56" s="20"/>
    </row>
    <row r="57" spans="1:28">
      <c r="A57" s="3">
        <v>46097</v>
      </c>
      <c r="B57" s="20" t="s">
        <v>532</v>
      </c>
      <c r="C57" s="21" t="s">
        <v>533</v>
      </c>
      <c r="D57" s="20" t="s">
        <v>534</v>
      </c>
      <c r="E57" s="21" t="s">
        <v>86</v>
      </c>
      <c r="F57" s="20" t="s">
        <v>33</v>
      </c>
      <c r="G57" s="21" t="s">
        <v>33</v>
      </c>
      <c r="H57" s="20"/>
      <c r="I57" s="20"/>
      <c r="J57" s="20"/>
      <c r="K57" s="20"/>
      <c r="L57" s="21" t="s">
        <v>33</v>
      </c>
      <c r="M57" s="20" t="s">
        <v>33</v>
      </c>
      <c r="N57" s="20" t="s">
        <v>33</v>
      </c>
      <c r="O57" s="4" t="s">
        <v>33</v>
      </c>
      <c r="P57" s="4" t="s">
        <v>33</v>
      </c>
      <c r="Q57" s="20" t="s">
        <v>535</v>
      </c>
      <c r="R57" s="20" t="s">
        <v>536</v>
      </c>
      <c r="S57" s="20" t="s">
        <v>537</v>
      </c>
      <c r="T57" s="20" t="s">
        <v>33</v>
      </c>
      <c r="U57" s="20"/>
      <c r="V57" s="20"/>
      <c r="W57" s="20"/>
      <c r="X57" s="20"/>
      <c r="Y57" s="20" t="s">
        <v>33</v>
      </c>
      <c r="Z57" s="20"/>
      <c r="AA57" s="20"/>
      <c r="AB57" s="20"/>
    </row>
    <row r="58" spans="1:28">
      <c r="A58" s="3">
        <v>46097</v>
      </c>
      <c r="B58" s="20" t="s">
        <v>538</v>
      </c>
      <c r="C58" s="21">
        <v>7989793783</v>
      </c>
      <c r="D58" s="20" t="s">
        <v>539</v>
      </c>
      <c r="E58" s="21" t="s">
        <v>25</v>
      </c>
      <c r="F58" s="20" t="s">
        <v>33</v>
      </c>
      <c r="G58" s="21" t="s">
        <v>33</v>
      </c>
      <c r="H58" s="20"/>
      <c r="I58" s="20"/>
      <c r="J58" s="20"/>
      <c r="K58" s="20"/>
      <c r="L58" s="21" t="s">
        <v>33</v>
      </c>
      <c r="M58" s="20" t="s">
        <v>33</v>
      </c>
      <c r="N58" s="20" t="s">
        <v>33</v>
      </c>
      <c r="O58" s="4" t="s">
        <v>33</v>
      </c>
      <c r="P58" s="4" t="s">
        <v>33</v>
      </c>
      <c r="Q58" s="20" t="s">
        <v>540</v>
      </c>
      <c r="R58" s="20" t="s">
        <v>541</v>
      </c>
      <c r="S58" s="20" t="s">
        <v>542</v>
      </c>
      <c r="T58" s="7" t="s">
        <v>40</v>
      </c>
      <c r="U58" s="20"/>
      <c r="V58" s="20"/>
      <c r="W58" s="20"/>
      <c r="X58" s="20"/>
      <c r="Y58" s="20"/>
      <c r="Z58" s="20"/>
      <c r="AA58" s="20"/>
      <c r="AB58" s="20"/>
    </row>
    <row r="59" spans="1:28">
      <c r="A59" s="3">
        <v>46098</v>
      </c>
      <c r="B59" s="20" t="s">
        <v>543</v>
      </c>
      <c r="C59" s="21">
        <v>8092909889</v>
      </c>
      <c r="D59" s="20" t="s">
        <v>544</v>
      </c>
      <c r="E59" s="21" t="s">
        <v>48</v>
      </c>
      <c r="F59" s="20" t="s">
        <v>33</v>
      </c>
      <c r="G59" s="61" t="s">
        <v>37</v>
      </c>
      <c r="H59" s="20"/>
      <c r="I59" s="20"/>
      <c r="J59" s="20"/>
      <c r="K59" s="20"/>
      <c r="L59" s="21" t="s">
        <v>37</v>
      </c>
      <c r="M59" s="20" t="s">
        <v>33</v>
      </c>
      <c r="N59" s="20" t="s">
        <v>33</v>
      </c>
      <c r="O59" s="4" t="s">
        <v>33</v>
      </c>
      <c r="P59" s="4" t="s">
        <v>33</v>
      </c>
      <c r="Q59" s="20" t="s">
        <v>545</v>
      </c>
      <c r="R59" s="20" t="s">
        <v>546</v>
      </c>
      <c r="S59" s="20" t="s">
        <v>547</v>
      </c>
      <c r="T59" s="20" t="s">
        <v>33</v>
      </c>
      <c r="U59" s="20"/>
      <c r="V59" s="20"/>
      <c r="W59" s="20"/>
      <c r="X59" s="20"/>
      <c r="Y59" s="20"/>
      <c r="Z59" s="20"/>
      <c r="AA59" s="20"/>
      <c r="AB59" s="20"/>
    </row>
    <row r="60" spans="1:28">
      <c r="A60" s="3">
        <v>46098</v>
      </c>
      <c r="B60" s="20" t="s">
        <v>548</v>
      </c>
      <c r="C60" s="21">
        <v>9566559313</v>
      </c>
      <c r="D60" s="20" t="s">
        <v>549</v>
      </c>
      <c r="E60" s="21" t="s">
        <v>48</v>
      </c>
      <c r="F60" s="20" t="s">
        <v>33</v>
      </c>
      <c r="G60" s="21" t="s">
        <v>33</v>
      </c>
      <c r="H60" s="20" t="s">
        <v>33</v>
      </c>
      <c r="I60" s="16" t="s">
        <v>550</v>
      </c>
      <c r="J60" s="20" t="s">
        <v>33</v>
      </c>
      <c r="K60" s="20" t="s">
        <v>304</v>
      </c>
      <c r="L60" s="21" t="s">
        <v>33</v>
      </c>
      <c r="M60" s="20" t="s">
        <v>33</v>
      </c>
      <c r="N60" s="20" t="s">
        <v>33</v>
      </c>
      <c r="O60" s="4" t="s">
        <v>33</v>
      </c>
      <c r="P60" s="4" t="s">
        <v>33</v>
      </c>
      <c r="Q60" s="20" t="s">
        <v>153</v>
      </c>
      <c r="R60" s="20" t="s">
        <v>551</v>
      </c>
      <c r="S60" s="20" t="s">
        <v>552</v>
      </c>
      <c r="T60" s="7" t="s">
        <v>40</v>
      </c>
      <c r="U60" s="20"/>
      <c r="V60" s="20"/>
      <c r="W60" s="20"/>
      <c r="X60" s="20"/>
      <c r="Y60" s="20"/>
      <c r="Z60" s="20"/>
      <c r="AA60" s="20"/>
      <c r="AB60" s="20"/>
    </row>
    <row r="61" spans="1:28">
      <c r="A61" s="3">
        <v>46098</v>
      </c>
      <c r="B61" s="20" t="s">
        <v>553</v>
      </c>
      <c r="C61" s="20">
        <v>6305908764</v>
      </c>
      <c r="D61" s="20" t="s">
        <v>554</v>
      </c>
      <c r="E61" s="21" t="s">
        <v>251</v>
      </c>
      <c r="F61" s="20" t="s">
        <v>33</v>
      </c>
      <c r="G61" s="61" t="s">
        <v>37</v>
      </c>
      <c r="H61" s="20"/>
      <c r="I61" s="20"/>
      <c r="J61" s="20"/>
      <c r="K61" s="20"/>
      <c r="L61" s="20" t="s">
        <v>33</v>
      </c>
      <c r="M61" s="20" t="s">
        <v>33</v>
      </c>
      <c r="N61" s="20" t="s">
        <v>33</v>
      </c>
      <c r="O61" s="4" t="s">
        <v>33</v>
      </c>
      <c r="P61" s="4" t="s">
        <v>33</v>
      </c>
      <c r="Q61" s="20" t="s">
        <v>555</v>
      </c>
      <c r="R61" s="20" t="s">
        <v>556</v>
      </c>
      <c r="S61" s="20" t="s">
        <v>557</v>
      </c>
      <c r="T61" s="20" t="s">
        <v>33</v>
      </c>
      <c r="U61" s="20"/>
      <c r="V61" s="20"/>
      <c r="W61" s="20"/>
      <c r="X61" s="20"/>
      <c r="Y61" s="20"/>
      <c r="Z61" s="20"/>
      <c r="AA61" s="20"/>
      <c r="AB61" s="20"/>
    </row>
    <row r="62" spans="1:28">
      <c r="A62" s="3">
        <v>46098</v>
      </c>
      <c r="B62" s="20" t="s">
        <v>558</v>
      </c>
      <c r="C62" s="21">
        <v>8680860342</v>
      </c>
      <c r="D62" s="20" t="s">
        <v>559</v>
      </c>
      <c r="E62" s="21" t="s">
        <v>48</v>
      </c>
      <c r="F62" s="20" t="s">
        <v>33</v>
      </c>
      <c r="G62" s="21" t="s">
        <v>33</v>
      </c>
      <c r="H62" s="20" t="s">
        <v>33</v>
      </c>
      <c r="I62" s="16" t="s">
        <v>67</v>
      </c>
      <c r="J62" s="20" t="s">
        <v>33</v>
      </c>
      <c r="K62" s="20" t="s">
        <v>304</v>
      </c>
      <c r="L62" s="21" t="s">
        <v>33</v>
      </c>
      <c r="M62" s="20" t="s">
        <v>33</v>
      </c>
      <c r="N62" s="20" t="s">
        <v>33</v>
      </c>
      <c r="O62" s="4" t="s">
        <v>33</v>
      </c>
      <c r="P62" s="4" t="s">
        <v>33</v>
      </c>
      <c r="Q62" s="20" t="s">
        <v>560</v>
      </c>
      <c r="R62" s="20" t="s">
        <v>561</v>
      </c>
      <c r="S62" s="20" t="s">
        <v>562</v>
      </c>
      <c r="T62" s="4" t="s">
        <v>40</v>
      </c>
      <c r="U62" s="20"/>
      <c r="V62" s="20"/>
      <c r="W62" s="20"/>
      <c r="X62" s="20"/>
      <c r="Y62" s="20"/>
      <c r="Z62" s="20"/>
      <c r="AA62" s="20"/>
      <c r="AB62" s="20"/>
    </row>
    <row r="63" spans="1:28">
      <c r="A63" s="3">
        <v>46099</v>
      </c>
      <c r="B63" s="20" t="s">
        <v>563</v>
      </c>
      <c r="C63" s="21">
        <v>9444903096</v>
      </c>
      <c r="D63" s="20" t="s">
        <v>564</v>
      </c>
      <c r="E63" s="21" t="s">
        <v>25</v>
      </c>
      <c r="F63" s="20" t="s">
        <v>33</v>
      </c>
      <c r="G63" s="21" t="s">
        <v>33</v>
      </c>
      <c r="H63" s="20"/>
      <c r="I63" s="20"/>
      <c r="J63" s="20"/>
      <c r="K63" s="20"/>
      <c r="L63" s="21" t="s">
        <v>33</v>
      </c>
      <c r="M63" s="20" t="s">
        <v>33</v>
      </c>
      <c r="N63" s="20" t="s">
        <v>33</v>
      </c>
      <c r="O63" s="4" t="s">
        <v>33</v>
      </c>
      <c r="P63" s="4" t="s">
        <v>33</v>
      </c>
      <c r="Q63" s="20" t="s">
        <v>565</v>
      </c>
      <c r="R63" s="20" t="s">
        <v>566</v>
      </c>
      <c r="S63" s="20" t="s">
        <v>567</v>
      </c>
      <c r="T63" s="20" t="s">
        <v>33</v>
      </c>
      <c r="U63" s="20"/>
      <c r="V63" s="20"/>
      <c r="W63" s="20"/>
      <c r="X63" s="20"/>
      <c r="Y63" s="20"/>
      <c r="Z63" s="20"/>
      <c r="AA63" s="20"/>
      <c r="AB63" s="20"/>
    </row>
    <row r="64" spans="1:28">
      <c r="A64" s="3">
        <v>46099</v>
      </c>
      <c r="B64" s="20" t="s">
        <v>568</v>
      </c>
      <c r="C64" s="21">
        <v>9444444076</v>
      </c>
      <c r="D64" s="20" t="s">
        <v>569</v>
      </c>
      <c r="E64" s="21" t="s">
        <v>86</v>
      </c>
      <c r="F64" s="20" t="s">
        <v>97</v>
      </c>
      <c r="G64" s="21" t="s">
        <v>33</v>
      </c>
      <c r="H64" s="20"/>
      <c r="I64" s="20"/>
      <c r="J64" s="20"/>
      <c r="K64" s="20"/>
      <c r="L64" s="21" t="s">
        <v>33</v>
      </c>
      <c r="M64" s="20" t="s">
        <v>33</v>
      </c>
      <c r="N64" s="20" t="s">
        <v>33</v>
      </c>
      <c r="O64" s="4" t="s">
        <v>33</v>
      </c>
      <c r="P64" s="4" t="s">
        <v>33</v>
      </c>
      <c r="Q64" s="20" t="s">
        <v>570</v>
      </c>
      <c r="R64" s="20" t="s">
        <v>571</v>
      </c>
      <c r="S64" s="20" t="s">
        <v>572</v>
      </c>
      <c r="T64" s="4" t="s">
        <v>40</v>
      </c>
      <c r="U64" s="20" t="s">
        <v>33</v>
      </c>
      <c r="V64" s="20"/>
      <c r="W64" s="20"/>
      <c r="X64" s="20"/>
      <c r="Y64" s="20"/>
      <c r="Z64" s="20" t="s">
        <v>33</v>
      </c>
      <c r="AA64" s="20"/>
      <c r="AB64" s="20"/>
    </row>
    <row r="65" spans="1:28">
      <c r="A65" s="3">
        <v>46099</v>
      </c>
      <c r="B65" s="20" t="s">
        <v>573</v>
      </c>
      <c r="C65" s="21">
        <v>9840401094</v>
      </c>
      <c r="D65" s="20" t="s">
        <v>574</v>
      </c>
      <c r="E65" s="21" t="s">
        <v>86</v>
      </c>
      <c r="F65" s="20" t="s">
        <v>33</v>
      </c>
      <c r="G65" s="21" t="s">
        <v>33</v>
      </c>
      <c r="H65" s="20" t="s">
        <v>33</v>
      </c>
      <c r="I65" s="16" t="s">
        <v>575</v>
      </c>
      <c r="J65" s="20" t="s">
        <v>33</v>
      </c>
      <c r="K65" s="20" t="s">
        <v>304</v>
      </c>
      <c r="L65" s="21" t="s">
        <v>33</v>
      </c>
      <c r="M65" s="20" t="s">
        <v>33</v>
      </c>
      <c r="N65" s="20" t="s">
        <v>33</v>
      </c>
      <c r="O65" s="4" t="s">
        <v>33</v>
      </c>
      <c r="P65" s="4" t="s">
        <v>33</v>
      </c>
      <c r="Q65" s="20" t="s">
        <v>205</v>
      </c>
      <c r="R65" s="20" t="s">
        <v>576</v>
      </c>
      <c r="S65" s="20" t="s">
        <v>577</v>
      </c>
      <c r="T65" s="20" t="s">
        <v>33</v>
      </c>
      <c r="U65" s="20"/>
      <c r="V65" s="20"/>
      <c r="W65" s="20"/>
      <c r="X65" s="20"/>
      <c r="Y65" s="20"/>
      <c r="Z65" s="20"/>
      <c r="AA65" s="20"/>
      <c r="AB65" s="20"/>
    </row>
    <row r="66" spans="1:28">
      <c r="A66" s="3">
        <v>46101</v>
      </c>
      <c r="B66" s="20" t="s">
        <v>332</v>
      </c>
      <c r="C66" s="21">
        <v>9962115121</v>
      </c>
      <c r="D66" s="37" t="s">
        <v>333</v>
      </c>
      <c r="E66" s="21" t="s">
        <v>48</v>
      </c>
      <c r="F66" s="20" t="s">
        <v>33</v>
      </c>
      <c r="G66" s="21" t="s">
        <v>33</v>
      </c>
      <c r="H66" s="20"/>
      <c r="I66" s="20"/>
      <c r="J66" s="20"/>
      <c r="K66" s="20"/>
      <c r="L66" s="21" t="s">
        <v>33</v>
      </c>
      <c r="M66" s="20" t="s">
        <v>33</v>
      </c>
      <c r="N66" s="20" t="s">
        <v>33</v>
      </c>
      <c r="O66" s="4" t="s">
        <v>33</v>
      </c>
      <c r="P66" s="4" t="s">
        <v>33</v>
      </c>
      <c r="Q66" s="20" t="s">
        <v>578</v>
      </c>
      <c r="R66" s="20" t="s">
        <v>579</v>
      </c>
      <c r="S66" s="20" t="s">
        <v>580</v>
      </c>
      <c r="T66" s="20" t="s">
        <v>33</v>
      </c>
      <c r="U66" s="20"/>
      <c r="V66" s="20"/>
      <c r="W66" s="20"/>
      <c r="X66" s="20"/>
      <c r="Y66" s="20" t="s">
        <v>33</v>
      </c>
      <c r="Z66" s="20"/>
      <c r="AA66" s="20"/>
      <c r="AB66" s="20"/>
    </row>
    <row r="67" spans="1:28">
      <c r="A67" s="3">
        <v>46101</v>
      </c>
      <c r="B67" s="20" t="s">
        <v>581</v>
      </c>
      <c r="C67" s="21">
        <v>9941487597</v>
      </c>
      <c r="D67" s="20" t="s">
        <v>582</v>
      </c>
      <c r="E67" s="21" t="s">
        <v>48</v>
      </c>
      <c r="F67" s="20" t="s">
        <v>33</v>
      </c>
      <c r="G67" s="21" t="s">
        <v>33</v>
      </c>
      <c r="H67" s="20" t="s">
        <v>33</v>
      </c>
      <c r="I67" s="16" t="s">
        <v>67</v>
      </c>
      <c r="J67" s="20" t="s">
        <v>33</v>
      </c>
      <c r="K67" s="20" t="s">
        <v>304</v>
      </c>
      <c r="L67" s="21" t="s">
        <v>33</v>
      </c>
      <c r="M67" s="20" t="s">
        <v>33</v>
      </c>
      <c r="N67" s="20" t="s">
        <v>33</v>
      </c>
      <c r="O67" s="4" t="s">
        <v>33</v>
      </c>
      <c r="P67" s="4" t="s">
        <v>33</v>
      </c>
      <c r="Q67" s="20" t="s">
        <v>583</v>
      </c>
      <c r="R67" s="20" t="s">
        <v>584</v>
      </c>
      <c r="S67" s="20" t="s">
        <v>585</v>
      </c>
      <c r="T67" s="4" t="s">
        <v>40</v>
      </c>
      <c r="U67" s="20" t="s">
        <v>33</v>
      </c>
      <c r="V67" s="20" t="s">
        <v>33</v>
      </c>
      <c r="W67" s="20"/>
      <c r="X67" s="20"/>
      <c r="Y67" s="20"/>
      <c r="Z67" s="20"/>
      <c r="AA67" s="20"/>
      <c r="AB67" s="20"/>
    </row>
    <row r="68" spans="1:28">
      <c r="A68" s="3">
        <v>46101</v>
      </c>
      <c r="B68" s="20" t="s">
        <v>586</v>
      </c>
      <c r="C68" s="21">
        <v>6383643037</v>
      </c>
      <c r="D68" s="20" t="s">
        <v>587</v>
      </c>
      <c r="E68" s="21" t="s">
        <v>588</v>
      </c>
      <c r="F68" s="20" t="s">
        <v>33</v>
      </c>
      <c r="G68" s="21" t="s">
        <v>33</v>
      </c>
      <c r="H68" s="20"/>
      <c r="I68" s="20"/>
      <c r="J68" s="20"/>
      <c r="K68" s="20"/>
      <c r="L68" s="21" t="s">
        <v>33</v>
      </c>
      <c r="M68" s="20" t="s">
        <v>33</v>
      </c>
      <c r="N68" s="20" t="s">
        <v>33</v>
      </c>
      <c r="O68" s="4" t="s">
        <v>33</v>
      </c>
      <c r="P68" s="4" t="s">
        <v>33</v>
      </c>
      <c r="Q68" s="20" t="s">
        <v>540</v>
      </c>
      <c r="R68" s="20" t="s">
        <v>589</v>
      </c>
      <c r="S68" s="20" t="s">
        <v>590</v>
      </c>
      <c r="T68" s="20" t="s">
        <v>33</v>
      </c>
      <c r="U68" s="20"/>
      <c r="V68" s="20" t="s">
        <v>33</v>
      </c>
      <c r="W68" s="20" t="s">
        <v>33</v>
      </c>
      <c r="X68" s="20"/>
      <c r="Y68" s="20" t="s">
        <v>33</v>
      </c>
      <c r="Z68" s="20" t="s">
        <v>33</v>
      </c>
      <c r="AA68" s="20" t="s">
        <v>33</v>
      </c>
      <c r="AB68" s="20"/>
    </row>
    <row r="69" spans="1:28">
      <c r="A69" s="3">
        <v>46101</v>
      </c>
      <c r="B69" s="20" t="s">
        <v>591</v>
      </c>
      <c r="C69" s="21">
        <v>9566060329</v>
      </c>
      <c r="D69" s="20" t="s">
        <v>592</v>
      </c>
      <c r="E69" s="21" t="s">
        <v>25</v>
      </c>
      <c r="F69" s="20" t="s">
        <v>33</v>
      </c>
      <c r="G69" s="21" t="s">
        <v>33</v>
      </c>
      <c r="H69" s="20"/>
      <c r="I69" s="20"/>
      <c r="J69" s="20"/>
      <c r="K69" s="20"/>
      <c r="L69" s="21" t="s">
        <v>33</v>
      </c>
      <c r="M69" s="20" t="s">
        <v>33</v>
      </c>
      <c r="N69" s="20" t="s">
        <v>33</v>
      </c>
      <c r="O69" s="4" t="s">
        <v>33</v>
      </c>
      <c r="P69" s="4" t="s">
        <v>33</v>
      </c>
      <c r="Q69" s="20" t="s">
        <v>593</v>
      </c>
      <c r="R69" s="20" t="s">
        <v>594</v>
      </c>
      <c r="S69" s="20" t="s">
        <v>595</v>
      </c>
      <c r="T69" s="7" t="s">
        <v>40</v>
      </c>
      <c r="U69" s="20"/>
      <c r="V69" s="20"/>
      <c r="W69" s="20"/>
      <c r="X69" s="20"/>
      <c r="Y69" s="20"/>
      <c r="Z69" s="20"/>
      <c r="AA69" s="20"/>
      <c r="AB69" s="20"/>
    </row>
    <row r="70" spans="1:28">
      <c r="A70" s="3">
        <v>46104</v>
      </c>
      <c r="B70" s="20" t="s">
        <v>553</v>
      </c>
      <c r="C70" s="21">
        <v>6305908764</v>
      </c>
      <c r="D70" s="20" t="s">
        <v>554</v>
      </c>
      <c r="E70" s="21" t="s">
        <v>251</v>
      </c>
      <c r="F70" s="20" t="s">
        <v>62</v>
      </c>
      <c r="G70" s="61" t="s">
        <v>37</v>
      </c>
      <c r="H70" s="20" t="s">
        <v>33</v>
      </c>
      <c r="I70" s="16" t="s">
        <v>67</v>
      </c>
      <c r="J70" s="20" t="s">
        <v>33</v>
      </c>
      <c r="K70" s="20" t="s">
        <v>304</v>
      </c>
      <c r="L70" s="21" t="s">
        <v>33</v>
      </c>
      <c r="M70" s="20" t="s">
        <v>33</v>
      </c>
      <c r="N70" s="20" t="s">
        <v>33</v>
      </c>
      <c r="O70" s="4" t="s">
        <v>33</v>
      </c>
      <c r="P70" s="4" t="s">
        <v>33</v>
      </c>
      <c r="Q70" s="20" t="s">
        <v>596</v>
      </c>
      <c r="R70" s="20" t="s">
        <v>597</v>
      </c>
      <c r="S70" s="20" t="s">
        <v>557</v>
      </c>
      <c r="T70" s="7" t="s">
        <v>40</v>
      </c>
      <c r="U70" s="20"/>
      <c r="V70" s="20"/>
      <c r="W70" s="20"/>
      <c r="X70" s="20"/>
      <c r="Y70" s="20"/>
      <c r="Z70" s="20"/>
      <c r="AA70" s="20"/>
      <c r="AB70" s="20"/>
    </row>
    <row r="71" spans="1:28">
      <c r="A71" s="3">
        <v>46104</v>
      </c>
      <c r="B71" s="20" t="s">
        <v>598</v>
      </c>
      <c r="C71" s="21">
        <v>8126038889</v>
      </c>
      <c r="D71" s="20" t="s">
        <v>599</v>
      </c>
      <c r="E71" s="21" t="s">
        <v>48</v>
      </c>
      <c r="F71" s="20" t="s">
        <v>33</v>
      </c>
      <c r="G71" s="61" t="s">
        <v>37</v>
      </c>
      <c r="H71" s="20" t="s">
        <v>33</v>
      </c>
      <c r="I71" s="16" t="s">
        <v>600</v>
      </c>
      <c r="J71" s="20" t="s">
        <v>33</v>
      </c>
      <c r="K71" s="20" t="s">
        <v>304</v>
      </c>
      <c r="L71" s="21" t="s">
        <v>33</v>
      </c>
      <c r="M71" s="20" t="s">
        <v>33</v>
      </c>
      <c r="N71" s="20" t="s">
        <v>33</v>
      </c>
      <c r="O71" s="4" t="s">
        <v>33</v>
      </c>
      <c r="P71" s="4" t="s">
        <v>33</v>
      </c>
      <c r="Q71" s="20" t="s">
        <v>216</v>
      </c>
      <c r="R71" s="20" t="s">
        <v>216</v>
      </c>
      <c r="S71" s="20" t="s">
        <v>601</v>
      </c>
      <c r="T71" s="20" t="s">
        <v>33</v>
      </c>
      <c r="U71" s="20"/>
      <c r="V71" s="20"/>
      <c r="W71" s="20"/>
      <c r="X71" s="20"/>
      <c r="Y71" s="20" t="s">
        <v>33</v>
      </c>
      <c r="Z71" s="20"/>
      <c r="AA71" s="20"/>
      <c r="AB71" s="20"/>
    </row>
    <row r="72" spans="1:28">
      <c r="A72" s="3">
        <v>46104</v>
      </c>
      <c r="B72" s="20" t="s">
        <v>602</v>
      </c>
      <c r="C72" s="21">
        <v>9500587901</v>
      </c>
      <c r="D72" s="20" t="s">
        <v>603</v>
      </c>
      <c r="E72" s="21" t="s">
        <v>48</v>
      </c>
      <c r="F72" s="20" t="s">
        <v>33</v>
      </c>
      <c r="G72" s="20" t="s">
        <v>33</v>
      </c>
      <c r="H72" s="20" t="s">
        <v>33</v>
      </c>
      <c r="I72" s="16" t="s">
        <v>604</v>
      </c>
      <c r="J72" s="20" t="s">
        <v>33</v>
      </c>
      <c r="K72" s="20" t="s">
        <v>304</v>
      </c>
      <c r="L72" s="21" t="s">
        <v>33</v>
      </c>
      <c r="M72" s="20" t="s">
        <v>33</v>
      </c>
      <c r="N72" s="20" t="s">
        <v>33</v>
      </c>
      <c r="O72" s="4" t="s">
        <v>33</v>
      </c>
      <c r="P72" s="4" t="s">
        <v>33</v>
      </c>
      <c r="Q72" s="20" t="s">
        <v>605</v>
      </c>
      <c r="R72" s="20" t="s">
        <v>606</v>
      </c>
      <c r="S72" s="20" t="s">
        <v>607</v>
      </c>
      <c r="T72" s="4" t="s">
        <v>40</v>
      </c>
      <c r="U72" s="20" t="s">
        <v>33</v>
      </c>
      <c r="V72" s="20"/>
      <c r="W72" s="20"/>
      <c r="X72" s="20"/>
      <c r="Y72" s="20"/>
      <c r="Z72" s="20"/>
      <c r="AA72" s="20"/>
      <c r="AB72" s="20"/>
    </row>
    <row r="73" spans="1:28" ht="14.65" customHeight="1">
      <c r="A73" s="3">
        <v>46105</v>
      </c>
      <c r="B73" s="35" t="s">
        <v>608</v>
      </c>
      <c r="C73" s="21">
        <v>9787357130</v>
      </c>
      <c r="D73" s="20" t="s">
        <v>609</v>
      </c>
      <c r="E73" s="21" t="s">
        <v>48</v>
      </c>
      <c r="F73" s="20" t="s">
        <v>33</v>
      </c>
      <c r="G73" s="20" t="s">
        <v>33</v>
      </c>
      <c r="H73" s="20" t="s">
        <v>33</v>
      </c>
      <c r="I73" s="16" t="s">
        <v>610</v>
      </c>
      <c r="J73" s="20" t="s">
        <v>33</v>
      </c>
      <c r="K73" s="20" t="s">
        <v>304</v>
      </c>
      <c r="L73" s="21" t="s">
        <v>33</v>
      </c>
      <c r="M73" s="20" t="s">
        <v>33</v>
      </c>
      <c r="N73" s="20" t="s">
        <v>33</v>
      </c>
      <c r="O73" s="4" t="s">
        <v>33</v>
      </c>
      <c r="P73" s="4" t="s">
        <v>33</v>
      </c>
      <c r="Q73" s="20" t="s">
        <v>205</v>
      </c>
      <c r="R73" s="20" t="s">
        <v>611</v>
      </c>
      <c r="S73" s="20" t="s">
        <v>612</v>
      </c>
      <c r="T73" s="20" t="s">
        <v>33</v>
      </c>
      <c r="U73" s="20" t="s">
        <v>33</v>
      </c>
      <c r="V73" s="20"/>
      <c r="W73" s="20"/>
      <c r="X73" s="20"/>
      <c r="Y73" s="20"/>
      <c r="Z73" s="20" t="s">
        <v>33</v>
      </c>
      <c r="AA73" s="20"/>
      <c r="AB73" s="20"/>
    </row>
    <row r="74" spans="1:28">
      <c r="A74" s="3">
        <v>46105</v>
      </c>
      <c r="B74" s="20" t="s">
        <v>613</v>
      </c>
      <c r="C74" s="21">
        <v>8667238209</v>
      </c>
      <c r="D74" s="20" t="s">
        <v>614</v>
      </c>
      <c r="E74" s="21" t="s">
        <v>25</v>
      </c>
      <c r="F74" s="20" t="s">
        <v>33</v>
      </c>
      <c r="G74" s="20" t="s">
        <v>33</v>
      </c>
      <c r="H74" s="20" t="s">
        <v>33</v>
      </c>
      <c r="I74" s="16" t="s">
        <v>67</v>
      </c>
      <c r="J74" s="20" t="s">
        <v>33</v>
      </c>
      <c r="K74" s="20" t="s">
        <v>304</v>
      </c>
      <c r="L74" s="21" t="s">
        <v>33</v>
      </c>
      <c r="M74" s="20" t="s">
        <v>33</v>
      </c>
      <c r="N74" s="20" t="s">
        <v>33</v>
      </c>
      <c r="O74" s="4" t="s">
        <v>33</v>
      </c>
      <c r="P74" s="4" t="s">
        <v>33</v>
      </c>
      <c r="Q74" s="20" t="s">
        <v>92</v>
      </c>
      <c r="R74" s="20" t="s">
        <v>615</v>
      </c>
      <c r="S74" s="20" t="s">
        <v>616</v>
      </c>
      <c r="T74" s="4" t="s">
        <v>40</v>
      </c>
      <c r="U74" s="20" t="s">
        <v>33</v>
      </c>
      <c r="V74" s="20"/>
      <c r="W74" s="20" t="s">
        <v>33</v>
      </c>
      <c r="X74" s="20"/>
      <c r="Y74" s="20"/>
      <c r="Z74" s="20"/>
      <c r="AA74" s="20"/>
      <c r="AB74" s="20"/>
    </row>
    <row r="75" spans="1:28">
      <c r="A75" s="3">
        <v>46105</v>
      </c>
      <c r="B75" s="20" t="s">
        <v>617</v>
      </c>
      <c r="C75" s="21">
        <v>9941614197</v>
      </c>
      <c r="D75" s="20" t="s">
        <v>618</v>
      </c>
      <c r="E75" s="21" t="s">
        <v>86</v>
      </c>
      <c r="F75" s="20" t="s">
        <v>33</v>
      </c>
      <c r="G75" s="20" t="s">
        <v>33</v>
      </c>
      <c r="H75" s="20"/>
      <c r="I75" s="20"/>
      <c r="J75" s="20"/>
      <c r="K75" s="20"/>
      <c r="L75" s="21" t="s">
        <v>37</v>
      </c>
      <c r="M75" s="20" t="s">
        <v>33</v>
      </c>
      <c r="N75" s="20" t="s">
        <v>33</v>
      </c>
      <c r="O75" s="4" t="s">
        <v>33</v>
      </c>
      <c r="P75" s="4" t="s">
        <v>33</v>
      </c>
      <c r="Q75" s="20" t="s">
        <v>205</v>
      </c>
      <c r="R75" s="20" t="s">
        <v>619</v>
      </c>
      <c r="S75" s="20" t="s">
        <v>620</v>
      </c>
      <c r="T75" s="4" t="s">
        <v>40</v>
      </c>
      <c r="U75" s="20" t="s">
        <v>33</v>
      </c>
      <c r="V75" s="20"/>
      <c r="W75" s="20"/>
      <c r="X75" s="20"/>
      <c r="Y75" s="20"/>
      <c r="Z75" s="20"/>
      <c r="AA75" s="20"/>
      <c r="AB75" s="20"/>
    </row>
    <row r="76" spans="1:28">
      <c r="A76" s="3">
        <v>46105</v>
      </c>
      <c r="B76" s="20" t="s">
        <v>621</v>
      </c>
      <c r="C76" s="21">
        <v>9751416029</v>
      </c>
      <c r="D76" s="20" t="s">
        <v>622</v>
      </c>
      <c r="E76" s="21" t="s">
        <v>48</v>
      </c>
      <c r="F76" s="20" t="s">
        <v>33</v>
      </c>
      <c r="G76" s="20" t="s">
        <v>33</v>
      </c>
      <c r="H76" s="20"/>
      <c r="I76" s="20"/>
      <c r="J76" s="20"/>
      <c r="K76" s="20"/>
      <c r="L76" s="21" t="s">
        <v>33</v>
      </c>
      <c r="M76" s="20" t="s">
        <v>33</v>
      </c>
      <c r="N76" s="20" t="s">
        <v>33</v>
      </c>
      <c r="O76" s="4" t="s">
        <v>33</v>
      </c>
      <c r="P76" s="4" t="s">
        <v>33</v>
      </c>
      <c r="Q76" s="20" t="s">
        <v>623</v>
      </c>
      <c r="R76" s="20" t="s">
        <v>624</v>
      </c>
      <c r="S76" s="20" t="s">
        <v>625</v>
      </c>
      <c r="T76" s="20" t="s">
        <v>300</v>
      </c>
      <c r="U76" s="20"/>
      <c r="V76" s="20"/>
      <c r="W76" s="20"/>
      <c r="X76" s="20"/>
      <c r="Y76" s="20"/>
      <c r="Z76" s="20"/>
      <c r="AA76" s="20"/>
      <c r="AB76" s="20"/>
    </row>
    <row r="77" spans="1:28">
      <c r="A77" s="3">
        <v>46106</v>
      </c>
      <c r="B77" s="37" t="s">
        <v>626</v>
      </c>
      <c r="C77" s="21">
        <v>7579163050</v>
      </c>
      <c r="D77" s="37" t="s">
        <v>627</v>
      </c>
      <c r="E77" s="21" t="s">
        <v>48</v>
      </c>
      <c r="F77" s="20" t="s">
        <v>62</v>
      </c>
      <c r="G77" s="61" t="s">
        <v>37</v>
      </c>
      <c r="H77" s="20" t="s">
        <v>33</v>
      </c>
      <c r="I77" s="16" t="s">
        <v>67</v>
      </c>
      <c r="J77" s="20" t="s">
        <v>33</v>
      </c>
      <c r="K77" s="20" t="s">
        <v>304</v>
      </c>
      <c r="L77" s="38" t="s">
        <v>33</v>
      </c>
      <c r="M77" s="20" t="s">
        <v>33</v>
      </c>
      <c r="N77" s="20" t="s">
        <v>33</v>
      </c>
      <c r="O77" s="4" t="s">
        <v>33</v>
      </c>
      <c r="P77" s="4" t="s">
        <v>33</v>
      </c>
      <c r="Q77" s="20" t="s">
        <v>465</v>
      </c>
      <c r="R77" s="20" t="s">
        <v>465</v>
      </c>
      <c r="S77" s="20" t="s">
        <v>628</v>
      </c>
      <c r="T77" s="20" t="s">
        <v>33</v>
      </c>
      <c r="U77" s="20"/>
      <c r="V77" s="20"/>
      <c r="W77" s="20"/>
      <c r="X77" s="20"/>
      <c r="Y77" s="20"/>
      <c r="Z77" s="20"/>
      <c r="AA77" s="20"/>
      <c r="AB77" s="20"/>
    </row>
    <row r="78" spans="1:28">
      <c r="A78" s="3">
        <v>46106</v>
      </c>
      <c r="B78" s="37" t="s">
        <v>629</v>
      </c>
      <c r="C78" s="21">
        <v>6385829022</v>
      </c>
      <c r="D78" s="37" t="s">
        <v>630</v>
      </c>
      <c r="E78" s="21" t="s">
        <v>48</v>
      </c>
      <c r="F78" s="20" t="s">
        <v>33</v>
      </c>
      <c r="G78" s="61" t="s">
        <v>37</v>
      </c>
      <c r="H78" s="20" t="s">
        <v>33</v>
      </c>
      <c r="I78" s="16" t="s">
        <v>410</v>
      </c>
      <c r="J78" s="20"/>
      <c r="K78" s="20"/>
      <c r="L78" s="38" t="s">
        <v>33</v>
      </c>
      <c r="M78" s="20" t="s">
        <v>33</v>
      </c>
      <c r="N78" s="20" t="s">
        <v>33</v>
      </c>
      <c r="O78" s="4" t="s">
        <v>33</v>
      </c>
      <c r="P78" s="4" t="s">
        <v>33</v>
      </c>
      <c r="Q78" s="20" t="s">
        <v>465</v>
      </c>
      <c r="R78" s="20" t="s">
        <v>465</v>
      </c>
      <c r="S78" s="20" t="s">
        <v>631</v>
      </c>
      <c r="T78" s="7" t="s">
        <v>40</v>
      </c>
      <c r="U78" s="20"/>
      <c r="V78" s="20"/>
      <c r="W78" s="20"/>
      <c r="X78" s="20"/>
      <c r="Y78" s="20"/>
      <c r="Z78" s="20"/>
      <c r="AA78" s="20"/>
      <c r="AB78" s="20" t="s">
        <v>33</v>
      </c>
    </row>
    <row r="79" spans="1:28">
      <c r="A79" s="3">
        <v>46107</v>
      </c>
      <c r="B79" s="37" t="s">
        <v>632</v>
      </c>
      <c r="C79" s="37">
        <v>9059777980</v>
      </c>
      <c r="D79" s="37" t="s">
        <v>633</v>
      </c>
      <c r="E79" s="38" t="s">
        <v>48</v>
      </c>
      <c r="F79" s="20" t="s">
        <v>33</v>
      </c>
      <c r="G79" s="61" t="s">
        <v>37</v>
      </c>
      <c r="H79" s="20"/>
      <c r="I79" s="20"/>
      <c r="J79" s="20"/>
      <c r="K79" s="20"/>
      <c r="L79" s="37" t="s">
        <v>300</v>
      </c>
      <c r="M79" s="20" t="s">
        <v>33</v>
      </c>
      <c r="N79" s="20" t="s">
        <v>33</v>
      </c>
      <c r="O79" s="4" t="s">
        <v>33</v>
      </c>
      <c r="P79" s="4" t="s">
        <v>33</v>
      </c>
      <c r="Q79" s="20" t="s">
        <v>499</v>
      </c>
      <c r="R79" s="20" t="s">
        <v>499</v>
      </c>
      <c r="S79" s="20" t="s">
        <v>634</v>
      </c>
      <c r="T79" s="4" t="s">
        <v>40</v>
      </c>
      <c r="U79" s="20"/>
      <c r="V79" s="1"/>
      <c r="W79" s="20"/>
      <c r="X79" s="20"/>
      <c r="Y79" s="20"/>
      <c r="Z79" s="20"/>
      <c r="AA79" s="20"/>
      <c r="AB79" s="20"/>
    </row>
    <row r="80" spans="1:28">
      <c r="A80" s="3">
        <v>46107</v>
      </c>
      <c r="B80" s="37" t="s">
        <v>635</v>
      </c>
      <c r="C80" s="37">
        <v>9600235081</v>
      </c>
      <c r="D80" s="37" t="s">
        <v>636</v>
      </c>
      <c r="E80" s="38" t="s">
        <v>447</v>
      </c>
      <c r="F80" s="20" t="s">
        <v>33</v>
      </c>
      <c r="G80" s="61" t="s">
        <v>37</v>
      </c>
      <c r="H80" s="20"/>
      <c r="I80" s="20"/>
      <c r="J80" s="20"/>
      <c r="K80" s="20"/>
      <c r="L80" s="37" t="s">
        <v>300</v>
      </c>
      <c r="M80" s="20" t="s">
        <v>33</v>
      </c>
      <c r="N80" s="20" t="s">
        <v>33</v>
      </c>
      <c r="O80" s="4" t="s">
        <v>33</v>
      </c>
      <c r="P80" s="4" t="s">
        <v>33</v>
      </c>
      <c r="Q80" s="20" t="s">
        <v>637</v>
      </c>
      <c r="R80" s="20" t="s">
        <v>638</v>
      </c>
      <c r="S80" s="20" t="s">
        <v>639</v>
      </c>
      <c r="T80" s="4" t="s">
        <v>40</v>
      </c>
      <c r="U80" s="20" t="s">
        <v>33</v>
      </c>
      <c r="V80" s="20"/>
      <c r="W80" s="20"/>
      <c r="X80" s="20"/>
      <c r="Y80" s="20"/>
      <c r="Z80" s="20"/>
      <c r="AA80" s="20"/>
      <c r="AB80" s="20"/>
    </row>
    <row r="81" spans="1:28">
      <c r="A81" s="3">
        <v>46108</v>
      </c>
      <c r="B81" s="37" t="s">
        <v>640</v>
      </c>
      <c r="C81" s="37">
        <v>9600803703</v>
      </c>
      <c r="D81" s="37" t="s">
        <v>641</v>
      </c>
      <c r="E81" s="38" t="s">
        <v>86</v>
      </c>
      <c r="F81" s="20" t="s">
        <v>33</v>
      </c>
      <c r="G81" s="20" t="s">
        <v>33</v>
      </c>
      <c r="H81" s="20" t="s">
        <v>33</v>
      </c>
      <c r="I81" s="20"/>
      <c r="J81" s="20" t="s">
        <v>33</v>
      </c>
      <c r="K81" s="20" t="s">
        <v>642</v>
      </c>
      <c r="L81" s="37" t="s">
        <v>300</v>
      </c>
      <c r="M81" s="20" t="s">
        <v>33</v>
      </c>
      <c r="N81" s="20" t="s">
        <v>33</v>
      </c>
      <c r="O81" s="4" t="s">
        <v>33</v>
      </c>
      <c r="P81" s="4" t="s">
        <v>33</v>
      </c>
      <c r="Q81" s="20" t="s">
        <v>643</v>
      </c>
      <c r="R81" s="20" t="s">
        <v>644</v>
      </c>
      <c r="S81" s="20" t="s">
        <v>645</v>
      </c>
      <c r="T81" s="20" t="s">
        <v>33</v>
      </c>
      <c r="U81" s="20" t="s">
        <v>33</v>
      </c>
      <c r="V81" s="20"/>
      <c r="W81" s="20"/>
      <c r="X81" s="20"/>
      <c r="Y81" s="20" t="s">
        <v>33</v>
      </c>
      <c r="Z81" s="20"/>
      <c r="AA81" s="20"/>
      <c r="AB81" s="20"/>
    </row>
    <row r="82" spans="1:28" ht="15" customHeight="1">
      <c r="A82" s="3">
        <v>46111</v>
      </c>
      <c r="B82" s="37" t="s">
        <v>646</v>
      </c>
      <c r="C82" s="37">
        <v>9789646851</v>
      </c>
      <c r="D82" s="99" t="s">
        <v>647</v>
      </c>
      <c r="E82" s="38" t="s">
        <v>86</v>
      </c>
      <c r="F82" s="20" t="s">
        <v>33</v>
      </c>
      <c r="G82" s="20" t="s">
        <v>33</v>
      </c>
      <c r="H82" s="20"/>
      <c r="I82" s="20"/>
      <c r="J82" s="20"/>
      <c r="K82" s="20"/>
      <c r="L82" s="37" t="s">
        <v>300</v>
      </c>
      <c r="M82" s="20" t="s">
        <v>33</v>
      </c>
      <c r="N82" s="20" t="s">
        <v>33</v>
      </c>
      <c r="O82" s="4" t="s">
        <v>33</v>
      </c>
      <c r="P82" s="4" t="s">
        <v>33</v>
      </c>
      <c r="Q82" s="20" t="s">
        <v>578</v>
      </c>
      <c r="R82" s="20" t="s">
        <v>648</v>
      </c>
      <c r="S82" s="20" t="s">
        <v>649</v>
      </c>
      <c r="T82" s="7" t="s">
        <v>40</v>
      </c>
      <c r="U82" s="20" t="s">
        <v>33</v>
      </c>
      <c r="V82" s="20" t="s">
        <v>33</v>
      </c>
      <c r="W82" s="20" t="s">
        <v>33</v>
      </c>
      <c r="X82" s="20"/>
      <c r="Y82" s="20" t="s">
        <v>33</v>
      </c>
      <c r="Z82" s="20"/>
      <c r="AA82" s="20"/>
      <c r="AB82" s="20"/>
    </row>
    <row r="83" spans="1:28" ht="15" customHeight="1">
      <c r="A83" s="3">
        <v>46111</v>
      </c>
      <c r="B83" s="37" t="s">
        <v>650</v>
      </c>
      <c r="C83" s="37">
        <v>9962528464</v>
      </c>
      <c r="D83" s="99" t="s">
        <v>651</v>
      </c>
      <c r="E83" s="38" t="s">
        <v>86</v>
      </c>
      <c r="F83" s="20" t="s">
        <v>33</v>
      </c>
      <c r="G83" s="20" t="s">
        <v>33</v>
      </c>
      <c r="H83" s="20"/>
      <c r="I83" s="20"/>
      <c r="J83" s="20"/>
      <c r="K83" s="20"/>
      <c r="L83" s="37" t="s">
        <v>300</v>
      </c>
      <c r="M83" s="20" t="s">
        <v>33</v>
      </c>
      <c r="N83" s="20" t="s">
        <v>33</v>
      </c>
      <c r="O83" s="4" t="s">
        <v>33</v>
      </c>
      <c r="P83" s="4" t="s">
        <v>33</v>
      </c>
      <c r="Q83" s="20" t="s">
        <v>652</v>
      </c>
      <c r="R83" s="20" t="s">
        <v>653</v>
      </c>
      <c r="S83" s="20" t="s">
        <v>654</v>
      </c>
      <c r="T83" s="20" t="s">
        <v>33</v>
      </c>
      <c r="U83" s="20"/>
      <c r="V83" s="20"/>
      <c r="W83" s="20"/>
      <c r="X83" s="20"/>
      <c r="Y83" s="20"/>
      <c r="Z83" s="20"/>
      <c r="AA83" s="20"/>
      <c r="AB83" s="20"/>
    </row>
    <row r="84" spans="1:28" ht="15" customHeight="1">
      <c r="A84" s="3">
        <v>46111</v>
      </c>
      <c r="B84" s="37" t="s">
        <v>655</v>
      </c>
      <c r="C84" s="37">
        <v>9840810807</v>
      </c>
      <c r="D84" s="99" t="s">
        <v>656</v>
      </c>
      <c r="E84" s="38" t="s">
        <v>26</v>
      </c>
      <c r="F84" s="20" t="s">
        <v>33</v>
      </c>
      <c r="G84" s="20" t="s">
        <v>33</v>
      </c>
      <c r="H84" s="20"/>
      <c r="I84" s="20"/>
      <c r="J84" s="20"/>
      <c r="K84" s="20"/>
      <c r="L84" s="37" t="s">
        <v>300</v>
      </c>
      <c r="M84" s="20" t="s">
        <v>33</v>
      </c>
      <c r="N84" s="20" t="s">
        <v>33</v>
      </c>
      <c r="O84" s="4" t="s">
        <v>33</v>
      </c>
      <c r="P84" s="4" t="s">
        <v>33</v>
      </c>
      <c r="Q84" s="20" t="s">
        <v>657</v>
      </c>
      <c r="R84" s="20" t="s">
        <v>658</v>
      </c>
      <c r="S84" s="20" t="s">
        <v>659</v>
      </c>
      <c r="T84" s="7" t="s">
        <v>40</v>
      </c>
      <c r="U84" s="20"/>
      <c r="V84" s="20" t="s">
        <v>33</v>
      </c>
      <c r="W84" s="20" t="s">
        <v>33</v>
      </c>
      <c r="X84" s="20"/>
      <c r="Y84" s="20" t="s">
        <v>33</v>
      </c>
      <c r="Z84" s="20"/>
      <c r="AA84" s="20"/>
      <c r="AB84" s="20"/>
    </row>
    <row r="85" spans="1:28" ht="15" customHeight="1">
      <c r="A85" s="3">
        <v>46111</v>
      </c>
      <c r="B85" s="37" t="s">
        <v>660</v>
      </c>
      <c r="C85" s="37">
        <v>7092890424</v>
      </c>
      <c r="D85" s="99" t="s">
        <v>661</v>
      </c>
      <c r="E85" s="38" t="s">
        <v>25</v>
      </c>
      <c r="F85" s="20" t="s">
        <v>33</v>
      </c>
      <c r="G85" s="20" t="s">
        <v>33</v>
      </c>
      <c r="H85" s="20" t="s">
        <v>33</v>
      </c>
      <c r="I85" s="39" t="s">
        <v>67</v>
      </c>
      <c r="J85" s="20" t="s">
        <v>33</v>
      </c>
      <c r="K85" s="20" t="s">
        <v>304</v>
      </c>
      <c r="L85" s="37" t="s">
        <v>300</v>
      </c>
      <c r="M85" s="20" t="s">
        <v>33</v>
      </c>
      <c r="N85" s="20" t="s">
        <v>33</v>
      </c>
      <c r="O85" s="4" t="s">
        <v>33</v>
      </c>
      <c r="P85" s="4" t="s">
        <v>33</v>
      </c>
      <c r="Q85" s="20" t="s">
        <v>153</v>
      </c>
      <c r="R85" s="20" t="s">
        <v>653</v>
      </c>
      <c r="S85" s="20" t="s">
        <v>662</v>
      </c>
      <c r="T85" s="4" t="s">
        <v>40</v>
      </c>
      <c r="U85" s="20"/>
      <c r="V85" s="20"/>
      <c r="W85" s="20"/>
      <c r="X85" s="20"/>
      <c r="Y85" s="20"/>
      <c r="Z85" s="20"/>
      <c r="AA85" s="20"/>
      <c r="AB85" s="20"/>
    </row>
    <row r="86" spans="1:28" ht="15" customHeight="1">
      <c r="A86" s="3">
        <v>46112</v>
      </c>
      <c r="B86" s="37" t="s">
        <v>663</v>
      </c>
      <c r="C86" s="37">
        <v>9059777980</v>
      </c>
      <c r="D86" s="99" t="s">
        <v>633</v>
      </c>
      <c r="E86" s="38" t="s">
        <v>48</v>
      </c>
      <c r="F86" s="20" t="s">
        <v>62</v>
      </c>
      <c r="G86" s="61" t="s">
        <v>37</v>
      </c>
      <c r="H86" s="20"/>
      <c r="I86" s="20"/>
      <c r="J86" s="20"/>
      <c r="K86" s="20"/>
      <c r="L86" s="37" t="s">
        <v>300</v>
      </c>
      <c r="M86" s="20" t="s">
        <v>33</v>
      </c>
      <c r="N86" s="20" t="s">
        <v>33</v>
      </c>
      <c r="O86" s="4" t="s">
        <v>33</v>
      </c>
      <c r="P86" s="4" t="s">
        <v>33</v>
      </c>
      <c r="Q86" s="20" t="s">
        <v>342</v>
      </c>
      <c r="R86" s="20" t="s">
        <v>342</v>
      </c>
      <c r="S86" s="20" t="s">
        <v>634</v>
      </c>
      <c r="T86" s="20" t="s">
        <v>33</v>
      </c>
      <c r="U86" s="20"/>
      <c r="V86" s="20"/>
      <c r="W86" s="20"/>
      <c r="X86" s="20"/>
      <c r="Y86" s="20"/>
      <c r="Z86" s="20"/>
      <c r="AA86" s="20"/>
      <c r="AB86" s="20"/>
    </row>
    <row r="87" spans="1:28" ht="15" customHeight="1">
      <c r="A87" s="3">
        <v>46112</v>
      </c>
      <c r="B87" s="37" t="s">
        <v>664</v>
      </c>
      <c r="C87" s="37">
        <v>8438243843</v>
      </c>
      <c r="D87" s="99" t="s">
        <v>665</v>
      </c>
      <c r="E87" s="38" t="s">
        <v>86</v>
      </c>
      <c r="F87" s="20" t="s">
        <v>33</v>
      </c>
      <c r="G87" s="20" t="s">
        <v>33</v>
      </c>
      <c r="H87" s="20"/>
      <c r="I87" s="20"/>
      <c r="J87" s="20"/>
      <c r="K87" s="20"/>
      <c r="L87" s="37" t="s">
        <v>300</v>
      </c>
      <c r="M87" s="20" t="s">
        <v>33</v>
      </c>
      <c r="N87" s="20" t="s">
        <v>33</v>
      </c>
      <c r="O87" s="4" t="s">
        <v>33</v>
      </c>
      <c r="P87" s="4" t="s">
        <v>33</v>
      </c>
      <c r="Q87" s="20" t="s">
        <v>666</v>
      </c>
      <c r="R87" s="20" t="s">
        <v>667</v>
      </c>
      <c r="S87" s="20" t="s">
        <v>668</v>
      </c>
      <c r="T87" s="7" t="s">
        <v>40</v>
      </c>
      <c r="U87" s="20"/>
      <c r="V87" s="20"/>
      <c r="W87" s="20" t="s">
        <v>33</v>
      </c>
      <c r="X87" s="20"/>
      <c r="Y87" s="20"/>
      <c r="Z87" s="20" t="s">
        <v>33</v>
      </c>
      <c r="AA87" s="20" t="s">
        <v>33</v>
      </c>
      <c r="AB87" s="20"/>
    </row>
    <row r="88" spans="1:28" ht="15" customHeight="1">
      <c r="A88" s="3">
        <v>46112</v>
      </c>
      <c r="B88" s="37" t="s">
        <v>669</v>
      </c>
      <c r="C88" s="37">
        <v>9566458121</v>
      </c>
      <c r="D88" s="99" t="s">
        <v>670</v>
      </c>
      <c r="E88" s="38" t="s">
        <v>246</v>
      </c>
      <c r="F88" s="20" t="s">
        <v>33</v>
      </c>
      <c r="G88" s="20" t="s">
        <v>33</v>
      </c>
      <c r="H88" s="20"/>
      <c r="I88" s="20"/>
      <c r="J88" s="20"/>
      <c r="K88" s="20"/>
      <c r="L88" s="37" t="s">
        <v>300</v>
      </c>
      <c r="M88" s="20" t="s">
        <v>33</v>
      </c>
      <c r="N88" s="20" t="s">
        <v>33</v>
      </c>
      <c r="O88" s="4" t="s">
        <v>33</v>
      </c>
      <c r="P88" s="4" t="s">
        <v>33</v>
      </c>
      <c r="Q88" s="20" t="s">
        <v>671</v>
      </c>
      <c r="R88" s="20" t="s">
        <v>667</v>
      </c>
      <c r="S88" s="20" t="s">
        <v>672</v>
      </c>
      <c r="T88" s="20" t="s">
        <v>33</v>
      </c>
      <c r="U88" s="20"/>
      <c r="V88" s="20"/>
      <c r="W88" s="20"/>
      <c r="X88" s="20"/>
      <c r="Y88" s="20"/>
      <c r="Z88" s="20"/>
      <c r="AA88" s="20"/>
      <c r="AB88" s="20"/>
    </row>
    <row r="89" spans="1:28" ht="15" customHeight="1">
      <c r="A89" s="3">
        <v>46112</v>
      </c>
      <c r="B89" s="37" t="s">
        <v>673</v>
      </c>
      <c r="C89" s="37">
        <v>8015775091</v>
      </c>
      <c r="D89" s="99" t="s">
        <v>674</v>
      </c>
      <c r="E89" s="38" t="s">
        <v>246</v>
      </c>
      <c r="F89" s="20" t="s">
        <v>33</v>
      </c>
      <c r="G89" s="20" t="s">
        <v>33</v>
      </c>
      <c r="H89" s="20"/>
      <c r="I89" s="20"/>
      <c r="J89" s="20"/>
      <c r="K89" s="20"/>
      <c r="L89" s="37" t="s">
        <v>300</v>
      </c>
      <c r="M89" s="20" t="s">
        <v>33</v>
      </c>
      <c r="N89" s="20" t="s">
        <v>33</v>
      </c>
      <c r="O89" s="4" t="s">
        <v>33</v>
      </c>
      <c r="P89" s="4" t="s">
        <v>33</v>
      </c>
      <c r="Q89" s="20" t="s">
        <v>675</v>
      </c>
      <c r="R89" s="20" t="s">
        <v>676</v>
      </c>
      <c r="S89" s="20" t="s">
        <v>677</v>
      </c>
      <c r="T89" s="20" t="s">
        <v>33</v>
      </c>
      <c r="U89" s="20"/>
      <c r="V89" s="20"/>
      <c r="W89" s="20"/>
      <c r="X89" s="20"/>
      <c r="Y89" s="20"/>
      <c r="Z89" s="20"/>
      <c r="AA89" s="20"/>
      <c r="AB89" s="20"/>
    </row>
    <row r="90" spans="1:28" ht="15" customHeight="1">
      <c r="A90" s="3">
        <v>46112</v>
      </c>
      <c r="B90" s="37" t="s">
        <v>678</v>
      </c>
      <c r="C90" s="37">
        <v>9965711063</v>
      </c>
      <c r="D90" s="99" t="s">
        <v>679</v>
      </c>
      <c r="E90" s="38" t="s">
        <v>48</v>
      </c>
      <c r="F90" s="20" t="s">
        <v>33</v>
      </c>
      <c r="G90" s="20" t="s">
        <v>33</v>
      </c>
      <c r="H90" s="20" t="s">
        <v>33</v>
      </c>
      <c r="I90" s="39" t="s">
        <v>200</v>
      </c>
      <c r="J90" s="20" t="s">
        <v>33</v>
      </c>
      <c r="K90" s="20" t="s">
        <v>304</v>
      </c>
      <c r="L90" s="37" t="s">
        <v>300</v>
      </c>
      <c r="M90" s="20" t="s">
        <v>33</v>
      </c>
      <c r="N90" s="20" t="s">
        <v>33</v>
      </c>
      <c r="O90" s="4" t="s">
        <v>33</v>
      </c>
      <c r="P90" s="4" t="s">
        <v>33</v>
      </c>
      <c r="Q90" s="20" t="s">
        <v>680</v>
      </c>
      <c r="R90" s="20" t="s">
        <v>681</v>
      </c>
      <c r="S90" s="20" t="s">
        <v>682</v>
      </c>
      <c r="T90" s="4" t="s">
        <v>40</v>
      </c>
      <c r="U90" s="20" t="s">
        <v>33</v>
      </c>
      <c r="V90" s="20"/>
      <c r="W90" s="20"/>
      <c r="X90" s="20"/>
      <c r="Y90" s="20"/>
      <c r="Z90" s="20"/>
      <c r="AA90" s="20"/>
      <c r="AB90" s="20"/>
    </row>
    <row r="92" spans="1:28" s="34" customFormat="1" ht="15" customHeight="1">
      <c r="B92" s="34" t="s">
        <v>683</v>
      </c>
      <c r="G92" s="62" t="s">
        <v>684</v>
      </c>
      <c r="I92" s="34" t="s">
        <v>270</v>
      </c>
      <c r="K92" s="34" t="s">
        <v>13</v>
      </c>
      <c r="S92" s="34" t="s">
        <v>271</v>
      </c>
      <c r="T92" s="34" t="s">
        <v>272</v>
      </c>
    </row>
    <row r="93" spans="1:28" s="34" customFormat="1" ht="15" customHeight="1">
      <c r="G93" s="62" t="s">
        <v>685</v>
      </c>
      <c r="I93" s="64">
        <f>20/62</f>
        <v>0.32258064516129031</v>
      </c>
      <c r="K93" s="64">
        <f>18/62</f>
        <v>0.29032258064516131</v>
      </c>
      <c r="S93" s="34">
        <v>60</v>
      </c>
      <c r="T93" s="34">
        <v>32</v>
      </c>
    </row>
  </sheetData>
  <autoFilter ref="A28:AA90" xr:uid="{00000000-0009-0000-0000-000002000000}"/>
  <mergeCells count="1">
    <mergeCell ref="A1:E1"/>
  </mergeCells>
  <hyperlinks>
    <hyperlink ref="D32" r:id="rId1" xr:uid="{00000000-0004-0000-0200-000000000000}"/>
    <hyperlink ref="D47" r:id="rId2" xr:uid="{00000000-0004-0000-0200-000001000000}"/>
    <hyperlink ref="D48" r:id="rId3" xr:uid="{00000000-0004-0000-0200-000002000000}"/>
    <hyperlink ref="D49" r:id="rId4" xr:uid="{00000000-0004-0000-0200-000003000000}"/>
    <hyperlink ref="D50" r:id="rId5" xr:uid="{00000000-0004-0000-0200-000004000000}"/>
    <hyperlink ref="D51" r:id="rId6" xr:uid="{00000000-0004-0000-0200-000005000000}"/>
  </hyperlink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C72"/>
  <sheetViews>
    <sheetView topLeftCell="A25" zoomScale="70" zoomScaleNormal="70" workbookViewId="0">
      <selection activeCell="B27" sqref="B27"/>
    </sheetView>
  </sheetViews>
  <sheetFormatPr defaultRowHeight="14.5"/>
  <cols>
    <col min="1" max="1" width="13.54296875" style="44" customWidth="1"/>
    <col min="2" max="2" width="10.54296875" style="44" customWidth="1"/>
    <col min="3" max="3" width="14.54296875" style="44" customWidth="1"/>
    <col min="7" max="7" width="16.7265625" style="44" bestFit="1" customWidth="1"/>
    <col min="11" max="11" width="14.26953125" style="44" customWidth="1"/>
    <col min="19" max="19" width="32.81640625" style="44" customWidth="1"/>
  </cols>
  <sheetData>
    <row r="1" spans="1:7">
      <c r="A1" s="104" t="s">
        <v>686</v>
      </c>
      <c r="B1" s="105"/>
      <c r="C1" s="105"/>
      <c r="D1" s="105"/>
      <c r="E1" s="106"/>
      <c r="F1" s="34"/>
      <c r="G1" s="19"/>
    </row>
    <row r="2" spans="1:7">
      <c r="A2" s="102" t="s">
        <v>1</v>
      </c>
      <c r="B2" s="102">
        <v>2093</v>
      </c>
      <c r="C2" s="11">
        <v>2337</v>
      </c>
      <c r="D2" s="102">
        <v>2394</v>
      </c>
      <c r="E2" s="102" t="s">
        <v>2</v>
      </c>
      <c r="F2" s="34"/>
      <c r="G2" s="19"/>
    </row>
    <row r="3" spans="1:7">
      <c r="A3" s="98">
        <v>46113</v>
      </c>
      <c r="B3" s="99">
        <v>1</v>
      </c>
      <c r="C3" s="99"/>
      <c r="D3" s="99"/>
      <c r="E3" s="99">
        <f t="shared" ref="E3:E21" si="0">B3+C3+D3</f>
        <v>1</v>
      </c>
    </row>
    <row r="4" spans="1:7">
      <c r="A4" s="98">
        <v>46114</v>
      </c>
      <c r="B4" s="99">
        <v>1</v>
      </c>
      <c r="C4" s="99">
        <v>1</v>
      </c>
      <c r="D4" s="99">
        <v>2</v>
      </c>
      <c r="E4" s="99">
        <f t="shared" si="0"/>
        <v>4</v>
      </c>
    </row>
    <row r="5" spans="1:7">
      <c r="A5" s="98">
        <v>46118</v>
      </c>
      <c r="B5" s="99">
        <v>1</v>
      </c>
      <c r="C5" s="99"/>
      <c r="D5" s="99">
        <v>1</v>
      </c>
      <c r="E5" s="99">
        <f t="shared" si="0"/>
        <v>2</v>
      </c>
    </row>
    <row r="6" spans="1:7">
      <c r="A6" s="98">
        <v>46119</v>
      </c>
      <c r="B6" s="99">
        <v>1</v>
      </c>
      <c r="C6" s="99">
        <v>1</v>
      </c>
      <c r="D6" s="99">
        <v>1</v>
      </c>
      <c r="E6" s="99">
        <f t="shared" si="0"/>
        <v>3</v>
      </c>
    </row>
    <row r="7" spans="1:7">
      <c r="A7" s="98">
        <v>46120</v>
      </c>
      <c r="B7" s="99">
        <v>2</v>
      </c>
      <c r="C7" s="99"/>
      <c r="D7" s="99"/>
      <c r="E7" s="99">
        <f t="shared" si="0"/>
        <v>2</v>
      </c>
    </row>
    <row r="8" spans="1:7">
      <c r="A8" s="98">
        <v>46121</v>
      </c>
      <c r="B8" s="99"/>
      <c r="C8" s="99"/>
      <c r="D8" s="99">
        <v>1</v>
      </c>
      <c r="E8" s="99">
        <f t="shared" si="0"/>
        <v>1</v>
      </c>
    </row>
    <row r="9" spans="1:7">
      <c r="A9" s="98">
        <v>46122</v>
      </c>
      <c r="B9" s="99"/>
      <c r="C9" s="99">
        <v>1</v>
      </c>
      <c r="D9" s="99">
        <v>2</v>
      </c>
      <c r="E9" s="99">
        <f t="shared" si="0"/>
        <v>3</v>
      </c>
    </row>
    <row r="10" spans="1:7">
      <c r="A10" s="98">
        <v>46125</v>
      </c>
      <c r="B10" s="99">
        <v>2</v>
      </c>
      <c r="C10" s="99"/>
      <c r="D10" s="99">
        <v>1</v>
      </c>
      <c r="E10" s="99">
        <f t="shared" si="0"/>
        <v>3</v>
      </c>
    </row>
    <row r="11" spans="1:7">
      <c r="A11" s="98">
        <v>46127</v>
      </c>
      <c r="B11" s="99">
        <v>1</v>
      </c>
      <c r="C11" s="99"/>
      <c r="D11" s="99">
        <v>2</v>
      </c>
      <c r="E11" s="99">
        <f t="shared" si="0"/>
        <v>3</v>
      </c>
    </row>
    <row r="12" spans="1:7">
      <c r="A12" s="98">
        <v>46128</v>
      </c>
      <c r="B12" s="99">
        <v>1</v>
      </c>
      <c r="C12" s="99">
        <v>2</v>
      </c>
      <c r="D12" s="99">
        <v>1</v>
      </c>
      <c r="E12" s="99">
        <f t="shared" si="0"/>
        <v>4</v>
      </c>
    </row>
    <row r="13" spans="1:7">
      <c r="A13" s="98">
        <v>46129</v>
      </c>
      <c r="B13" s="99"/>
      <c r="C13" s="99"/>
      <c r="D13" s="99"/>
      <c r="E13" s="99">
        <f t="shared" si="0"/>
        <v>0</v>
      </c>
    </row>
    <row r="14" spans="1:7">
      <c r="A14" s="98">
        <v>46132</v>
      </c>
      <c r="B14" s="99">
        <v>1</v>
      </c>
      <c r="C14" s="99">
        <v>1</v>
      </c>
      <c r="D14" s="99">
        <v>1</v>
      </c>
      <c r="E14" s="99">
        <f t="shared" si="0"/>
        <v>3</v>
      </c>
    </row>
    <row r="15" spans="1:7">
      <c r="A15" s="98">
        <v>46133</v>
      </c>
      <c r="B15" s="99">
        <v>1</v>
      </c>
      <c r="C15" s="99">
        <v>1</v>
      </c>
      <c r="D15" s="99"/>
      <c r="E15" s="99">
        <f t="shared" si="0"/>
        <v>2</v>
      </c>
    </row>
    <row r="16" spans="1:7">
      <c r="A16" s="98">
        <v>46134</v>
      </c>
      <c r="B16" s="99">
        <v>1</v>
      </c>
      <c r="C16" s="99">
        <v>1</v>
      </c>
      <c r="D16" s="99">
        <v>2</v>
      </c>
      <c r="E16" s="99">
        <f t="shared" si="0"/>
        <v>4</v>
      </c>
    </row>
    <row r="17" spans="1:29">
      <c r="A17" s="98">
        <v>46136</v>
      </c>
      <c r="B17" s="99">
        <v>1</v>
      </c>
      <c r="C17" s="99">
        <v>2</v>
      </c>
      <c r="D17" s="99"/>
      <c r="E17" s="99">
        <f t="shared" si="0"/>
        <v>3</v>
      </c>
    </row>
    <row r="18" spans="1:29">
      <c r="A18" s="98">
        <v>46139</v>
      </c>
      <c r="B18" s="99"/>
      <c r="C18" s="99"/>
      <c r="D18" s="99"/>
      <c r="E18" s="99">
        <f t="shared" si="0"/>
        <v>0</v>
      </c>
    </row>
    <row r="19" spans="1:29">
      <c r="A19" s="98">
        <v>46140</v>
      </c>
      <c r="B19" s="99">
        <v>1</v>
      </c>
      <c r="C19" s="99"/>
      <c r="D19" s="99"/>
      <c r="E19" s="99">
        <f t="shared" si="0"/>
        <v>1</v>
      </c>
    </row>
    <row r="20" spans="1:29">
      <c r="A20" s="98">
        <v>46141</v>
      </c>
      <c r="B20" s="99">
        <v>1</v>
      </c>
      <c r="C20" s="99"/>
      <c r="D20" s="99"/>
      <c r="E20" s="99">
        <f t="shared" si="0"/>
        <v>1</v>
      </c>
    </row>
    <row r="21" spans="1:29">
      <c r="A21" s="98">
        <v>46142</v>
      </c>
      <c r="B21" s="99">
        <v>1</v>
      </c>
      <c r="C21" s="99"/>
      <c r="D21" s="99">
        <v>1</v>
      </c>
      <c r="E21" s="99">
        <f t="shared" si="0"/>
        <v>2</v>
      </c>
    </row>
    <row r="22" spans="1:29">
      <c r="A22" s="42" t="s">
        <v>430</v>
      </c>
      <c r="B22">
        <f>SUM(B3:B21)</f>
        <v>17</v>
      </c>
      <c r="C22">
        <f>SUM(C3:C21)</f>
        <v>10</v>
      </c>
      <c r="D22">
        <f>SUM(D3:D21)</f>
        <v>15</v>
      </c>
      <c r="E22" s="99"/>
    </row>
    <row r="23" spans="1:29">
      <c r="D23" s="99" t="s">
        <v>430</v>
      </c>
      <c r="E23" s="99">
        <f>SUM(E3:E21)</f>
        <v>42</v>
      </c>
    </row>
    <row r="27" spans="1:29" ht="159.75" customHeight="1">
      <c r="A27" s="102" t="s">
        <v>1</v>
      </c>
      <c r="B27" s="102" t="s">
        <v>5</v>
      </c>
      <c r="C27" s="11" t="s">
        <v>6</v>
      </c>
      <c r="D27" s="102" t="s">
        <v>7</v>
      </c>
      <c r="E27" s="102" t="s">
        <v>8</v>
      </c>
      <c r="F27" s="1" t="s">
        <v>275</v>
      </c>
      <c r="G27" s="1" t="s">
        <v>10</v>
      </c>
      <c r="H27" s="2" t="s">
        <v>11</v>
      </c>
      <c r="I27" s="102" t="s">
        <v>12</v>
      </c>
      <c r="J27" s="1" t="s">
        <v>13</v>
      </c>
      <c r="K27" s="102" t="s">
        <v>12</v>
      </c>
      <c r="L27" s="1" t="s">
        <v>14</v>
      </c>
      <c r="M27" s="1" t="s">
        <v>15</v>
      </c>
      <c r="N27" s="1" t="s">
        <v>16</v>
      </c>
      <c r="O27" s="1" t="s">
        <v>17</v>
      </c>
      <c r="P27" s="1" t="s">
        <v>18</v>
      </c>
      <c r="Q27" s="102" t="s">
        <v>19</v>
      </c>
      <c r="R27" s="102" t="s">
        <v>20</v>
      </c>
      <c r="S27" s="102" t="s">
        <v>21</v>
      </c>
      <c r="T27" s="1" t="s">
        <v>22</v>
      </c>
      <c r="U27" s="1" t="s">
        <v>23</v>
      </c>
      <c r="V27" s="1" t="s">
        <v>24</v>
      </c>
      <c r="W27" s="1" t="s">
        <v>25</v>
      </c>
      <c r="X27" s="1" t="s">
        <v>276</v>
      </c>
      <c r="Y27" s="1" t="s">
        <v>26</v>
      </c>
      <c r="Z27" s="1" t="s">
        <v>27</v>
      </c>
      <c r="AA27" s="1" t="s">
        <v>28</v>
      </c>
      <c r="AB27" s="1" t="s">
        <v>29</v>
      </c>
      <c r="AC27" s="1" t="s">
        <v>431</v>
      </c>
    </row>
    <row r="28" spans="1:29" ht="15.75" customHeight="1">
      <c r="A28" s="98">
        <v>46113</v>
      </c>
      <c r="B28" s="99" t="s">
        <v>687</v>
      </c>
      <c r="C28" s="99">
        <v>9941547404</v>
      </c>
      <c r="D28" s="99" t="s">
        <v>688</v>
      </c>
      <c r="E28" s="17" t="s">
        <v>25</v>
      </c>
      <c r="F28" s="99" t="s">
        <v>33</v>
      </c>
      <c r="G28" s="99" t="s">
        <v>33</v>
      </c>
      <c r="H28" s="99" t="s">
        <v>33</v>
      </c>
      <c r="I28" s="99" t="s">
        <v>689</v>
      </c>
      <c r="J28" s="99" t="s">
        <v>33</v>
      </c>
      <c r="K28" s="99" t="s">
        <v>690</v>
      </c>
      <c r="L28" s="99" t="s">
        <v>33</v>
      </c>
      <c r="M28" s="99" t="s">
        <v>33</v>
      </c>
      <c r="N28" s="99" t="s">
        <v>33</v>
      </c>
      <c r="O28" s="49" t="s">
        <v>33</v>
      </c>
      <c r="P28" s="49" t="s">
        <v>33</v>
      </c>
      <c r="Q28" s="99" t="s">
        <v>211</v>
      </c>
      <c r="R28" s="99" t="s">
        <v>691</v>
      </c>
      <c r="S28" s="99" t="s">
        <v>692</v>
      </c>
      <c r="T28" s="99" t="s">
        <v>33</v>
      </c>
      <c r="U28" s="99"/>
      <c r="V28" s="99"/>
      <c r="W28" s="99" t="s">
        <v>33</v>
      </c>
      <c r="X28" s="99"/>
      <c r="Y28" s="99"/>
      <c r="Z28" s="99"/>
      <c r="AA28" s="99"/>
      <c r="AB28" s="99"/>
      <c r="AC28" s="99"/>
    </row>
    <row r="29" spans="1:29" ht="15.75" customHeight="1">
      <c r="A29" s="98">
        <v>46114</v>
      </c>
      <c r="B29" s="99" t="s">
        <v>693</v>
      </c>
      <c r="C29" s="99">
        <v>7092890424</v>
      </c>
      <c r="D29" s="99" t="s">
        <v>661</v>
      </c>
      <c r="E29" s="17" t="s">
        <v>25</v>
      </c>
      <c r="F29" s="99" t="s">
        <v>62</v>
      </c>
      <c r="G29" s="99" t="s">
        <v>33</v>
      </c>
      <c r="H29" s="99"/>
      <c r="I29" s="99"/>
      <c r="J29" s="99"/>
      <c r="K29" s="99"/>
      <c r="L29" s="99" t="s">
        <v>33</v>
      </c>
      <c r="M29" s="99" t="s">
        <v>33</v>
      </c>
      <c r="N29" s="99" t="s">
        <v>33</v>
      </c>
      <c r="O29" s="49" t="s">
        <v>33</v>
      </c>
      <c r="P29" s="49" t="s">
        <v>33</v>
      </c>
      <c r="Q29" s="99" t="s">
        <v>392</v>
      </c>
      <c r="R29" s="99" t="s">
        <v>694</v>
      </c>
      <c r="S29" s="99" t="s">
        <v>662</v>
      </c>
      <c r="T29" s="50" t="s">
        <v>40</v>
      </c>
      <c r="U29" s="99"/>
      <c r="V29" s="99"/>
      <c r="W29" s="99"/>
      <c r="X29" s="99"/>
      <c r="Y29" s="99"/>
      <c r="Z29" s="99"/>
      <c r="AA29" s="99"/>
      <c r="AB29" s="99"/>
      <c r="AC29" s="99"/>
    </row>
    <row r="30" spans="1:29" ht="15.75" customHeight="1">
      <c r="A30" s="98">
        <v>46114</v>
      </c>
      <c r="B30" s="99" t="s">
        <v>695</v>
      </c>
      <c r="C30" s="99">
        <v>9894912693</v>
      </c>
      <c r="D30" s="99" t="s">
        <v>696</v>
      </c>
      <c r="E30" s="17" t="s">
        <v>246</v>
      </c>
      <c r="F30" s="99" t="s">
        <v>97</v>
      </c>
      <c r="G30" s="99" t="s">
        <v>33</v>
      </c>
      <c r="H30" s="99"/>
      <c r="I30" s="99"/>
      <c r="J30" s="99"/>
      <c r="K30" s="99"/>
      <c r="L30" s="99" t="s">
        <v>33</v>
      </c>
      <c r="M30" s="99" t="s">
        <v>33</v>
      </c>
      <c r="N30" s="99" t="s">
        <v>33</v>
      </c>
      <c r="O30" s="49" t="s">
        <v>33</v>
      </c>
      <c r="P30" s="49" t="s">
        <v>33</v>
      </c>
      <c r="Q30" s="99" t="s">
        <v>697</v>
      </c>
      <c r="R30" s="99" t="s">
        <v>698</v>
      </c>
      <c r="S30" s="99" t="s">
        <v>699</v>
      </c>
      <c r="T30" s="99" t="s">
        <v>33</v>
      </c>
      <c r="U30" s="99"/>
      <c r="V30" s="99"/>
      <c r="W30" s="99"/>
      <c r="X30" s="99"/>
      <c r="Y30" s="99"/>
      <c r="Z30" s="99"/>
      <c r="AA30" s="99"/>
      <c r="AB30" s="99"/>
      <c r="AC30" s="99"/>
    </row>
    <row r="31" spans="1:29" ht="15.75" customHeight="1">
      <c r="A31" s="98">
        <v>46114</v>
      </c>
      <c r="B31" s="99" t="s">
        <v>700</v>
      </c>
      <c r="C31" s="99">
        <v>9024222344</v>
      </c>
      <c r="D31" s="99" t="s">
        <v>701</v>
      </c>
      <c r="E31" s="17" t="s">
        <v>48</v>
      </c>
      <c r="F31" s="99" t="s">
        <v>62</v>
      </c>
      <c r="G31" s="60" t="s">
        <v>37</v>
      </c>
      <c r="H31" s="99" t="s">
        <v>33</v>
      </c>
      <c r="I31" s="99" t="s">
        <v>702</v>
      </c>
      <c r="J31" s="99" t="s">
        <v>33</v>
      </c>
      <c r="K31" s="99" t="s">
        <v>304</v>
      </c>
      <c r="L31" s="99" t="s">
        <v>33</v>
      </c>
      <c r="M31" s="99" t="s">
        <v>33</v>
      </c>
      <c r="N31" s="99" t="s">
        <v>33</v>
      </c>
      <c r="O31" s="49" t="s">
        <v>33</v>
      </c>
      <c r="P31" s="49" t="s">
        <v>33</v>
      </c>
      <c r="Q31" s="99" t="s">
        <v>465</v>
      </c>
      <c r="R31" s="99" t="s">
        <v>465</v>
      </c>
      <c r="S31" s="99" t="s">
        <v>703</v>
      </c>
      <c r="T31" s="99" t="s">
        <v>33</v>
      </c>
      <c r="U31" s="99"/>
      <c r="V31" s="99"/>
      <c r="W31" s="99"/>
      <c r="X31" s="99"/>
      <c r="Y31" s="99"/>
      <c r="Z31" s="99"/>
      <c r="AA31" s="99"/>
      <c r="AB31" s="99"/>
      <c r="AC31" s="99"/>
    </row>
    <row r="32" spans="1:29" ht="15.75" customHeight="1">
      <c r="A32" s="98">
        <v>46114</v>
      </c>
      <c r="B32" s="99" t="s">
        <v>704</v>
      </c>
      <c r="C32" s="99">
        <v>9092757728</v>
      </c>
      <c r="D32" s="99" t="s">
        <v>705</v>
      </c>
      <c r="E32" s="17" t="s">
        <v>86</v>
      </c>
      <c r="F32" s="99" t="s">
        <v>33</v>
      </c>
      <c r="G32" s="99" t="s">
        <v>33</v>
      </c>
      <c r="H32" s="99" t="s">
        <v>33</v>
      </c>
      <c r="I32" s="39" t="s">
        <v>706</v>
      </c>
      <c r="J32" s="99" t="s">
        <v>33</v>
      </c>
      <c r="K32" s="40" t="s">
        <v>707</v>
      </c>
      <c r="L32" s="99" t="s">
        <v>33</v>
      </c>
      <c r="M32" s="99" t="s">
        <v>33</v>
      </c>
      <c r="N32" s="99" t="s">
        <v>33</v>
      </c>
      <c r="O32" s="49" t="s">
        <v>33</v>
      </c>
      <c r="P32" s="49" t="s">
        <v>33</v>
      </c>
      <c r="Q32" s="99" t="s">
        <v>708</v>
      </c>
      <c r="R32" s="99" t="s">
        <v>709</v>
      </c>
      <c r="S32" s="99" t="s">
        <v>710</v>
      </c>
      <c r="T32" s="49" t="s">
        <v>40</v>
      </c>
      <c r="U32" s="99"/>
      <c r="V32" s="99"/>
      <c r="W32" s="99"/>
      <c r="X32" s="99"/>
      <c r="Y32" s="99"/>
      <c r="Z32" s="99"/>
      <c r="AA32" s="99"/>
      <c r="AB32" s="99"/>
      <c r="AC32" s="99"/>
    </row>
    <row r="33" spans="1:29" ht="15.75" customHeight="1">
      <c r="A33" s="98">
        <v>46118</v>
      </c>
      <c r="B33" s="99" t="s">
        <v>358</v>
      </c>
      <c r="C33" s="99">
        <v>8973770630</v>
      </c>
      <c r="D33" s="99" t="s">
        <v>359</v>
      </c>
      <c r="E33" s="17" t="s">
        <v>26</v>
      </c>
      <c r="F33" s="99" t="s">
        <v>97</v>
      </c>
      <c r="G33" s="99" t="s">
        <v>33</v>
      </c>
      <c r="H33" s="99"/>
      <c r="I33" s="99"/>
      <c r="J33" s="99"/>
      <c r="K33" s="99"/>
      <c r="L33" s="99" t="s">
        <v>33</v>
      </c>
      <c r="M33" s="99" t="s">
        <v>33</v>
      </c>
      <c r="N33" s="99" t="s">
        <v>33</v>
      </c>
      <c r="O33" s="49" t="s">
        <v>33</v>
      </c>
      <c r="P33" s="49" t="s">
        <v>33</v>
      </c>
      <c r="Q33" s="99" t="s">
        <v>711</v>
      </c>
      <c r="R33" s="99" t="s">
        <v>712</v>
      </c>
      <c r="S33" s="99" t="s">
        <v>360</v>
      </c>
      <c r="T33" s="49" t="s">
        <v>40</v>
      </c>
      <c r="U33" s="99"/>
      <c r="V33" s="99"/>
      <c r="W33" s="99"/>
      <c r="X33" s="99"/>
      <c r="Y33" s="99"/>
      <c r="Z33" s="99" t="s">
        <v>33</v>
      </c>
      <c r="AA33" s="99" t="s">
        <v>33</v>
      </c>
      <c r="AB33" s="99"/>
      <c r="AC33" s="99"/>
    </row>
    <row r="34" spans="1:29" ht="15.75" customHeight="1">
      <c r="A34" s="98">
        <v>46118</v>
      </c>
      <c r="B34" s="99" t="s">
        <v>713</v>
      </c>
      <c r="C34" s="99">
        <v>9629627356</v>
      </c>
      <c r="D34" s="99" t="s">
        <v>714</v>
      </c>
      <c r="E34" s="17" t="s">
        <v>48</v>
      </c>
      <c r="F34" s="99" t="s">
        <v>33</v>
      </c>
      <c r="G34" s="99" t="s">
        <v>33</v>
      </c>
      <c r="H34" s="99" t="s">
        <v>33</v>
      </c>
      <c r="I34" s="39" t="s">
        <v>67</v>
      </c>
      <c r="J34" s="99" t="s">
        <v>33</v>
      </c>
      <c r="K34" s="99" t="s">
        <v>304</v>
      </c>
      <c r="L34" s="99" t="s">
        <v>33</v>
      </c>
      <c r="M34" s="99" t="s">
        <v>33</v>
      </c>
      <c r="N34" s="99" t="s">
        <v>33</v>
      </c>
      <c r="O34" s="49" t="s">
        <v>33</v>
      </c>
      <c r="P34" s="49" t="s">
        <v>33</v>
      </c>
      <c r="Q34" s="99" t="s">
        <v>715</v>
      </c>
      <c r="R34" s="99" t="s">
        <v>716</v>
      </c>
      <c r="S34" s="99" t="s">
        <v>717</v>
      </c>
      <c r="T34" s="50" t="s">
        <v>40</v>
      </c>
      <c r="U34" s="99"/>
      <c r="V34" s="99"/>
      <c r="W34" s="99"/>
      <c r="X34" s="99"/>
      <c r="Y34" s="99"/>
      <c r="Z34" s="99"/>
      <c r="AA34" s="99"/>
      <c r="AB34" s="99"/>
      <c r="AC34" s="99"/>
    </row>
    <row r="35" spans="1:29" ht="15.75" customHeight="1">
      <c r="A35" s="98">
        <v>46119</v>
      </c>
      <c r="B35" s="99" t="s">
        <v>718</v>
      </c>
      <c r="C35" s="99">
        <v>8754350436</v>
      </c>
      <c r="D35" s="99" t="s">
        <v>719</v>
      </c>
      <c r="E35" s="17" t="s">
        <v>48</v>
      </c>
      <c r="F35" s="99" t="s">
        <v>33</v>
      </c>
      <c r="G35" s="99" t="s">
        <v>33</v>
      </c>
      <c r="H35" s="99"/>
      <c r="I35" s="99"/>
      <c r="J35" s="99"/>
      <c r="K35" s="99"/>
      <c r="L35" s="99" t="s">
        <v>37</v>
      </c>
      <c r="M35" s="99" t="s">
        <v>33</v>
      </c>
      <c r="N35" s="99" t="s">
        <v>33</v>
      </c>
      <c r="O35" s="49" t="s">
        <v>33</v>
      </c>
      <c r="P35" s="49" t="s">
        <v>33</v>
      </c>
      <c r="Q35" s="99" t="s">
        <v>540</v>
      </c>
      <c r="R35" s="99" t="s">
        <v>541</v>
      </c>
      <c r="S35" s="99" t="s">
        <v>720</v>
      </c>
      <c r="T35" s="50" t="s">
        <v>40</v>
      </c>
      <c r="U35" s="99"/>
      <c r="V35" s="99"/>
      <c r="W35" s="99"/>
      <c r="X35" s="99"/>
      <c r="Y35" s="99"/>
      <c r="Z35" s="99"/>
      <c r="AA35" s="99"/>
      <c r="AB35" s="99"/>
      <c r="AC35" s="99"/>
    </row>
    <row r="36" spans="1:29" ht="15.75" customHeight="1">
      <c r="A36" s="98">
        <v>46119</v>
      </c>
      <c r="B36" s="99" t="s">
        <v>721</v>
      </c>
      <c r="C36" s="99">
        <v>9600305697</v>
      </c>
      <c r="D36" s="99" t="s">
        <v>722</v>
      </c>
      <c r="E36" s="17" t="s">
        <v>43</v>
      </c>
      <c r="F36" s="99" t="s">
        <v>33</v>
      </c>
      <c r="G36" s="99" t="s">
        <v>33</v>
      </c>
      <c r="H36" s="99"/>
      <c r="I36" s="99"/>
      <c r="J36" s="99"/>
      <c r="K36" s="99"/>
      <c r="L36" s="99" t="s">
        <v>33</v>
      </c>
      <c r="M36" s="99" t="s">
        <v>33</v>
      </c>
      <c r="N36" s="99" t="s">
        <v>33</v>
      </c>
      <c r="O36" s="49" t="s">
        <v>33</v>
      </c>
      <c r="P36" s="49" t="s">
        <v>33</v>
      </c>
      <c r="Q36" s="99" t="s">
        <v>723</v>
      </c>
      <c r="R36" s="99" t="s">
        <v>724</v>
      </c>
      <c r="S36" s="99" t="s">
        <v>725</v>
      </c>
      <c r="T36" s="99" t="s">
        <v>33</v>
      </c>
      <c r="U36" s="99"/>
      <c r="V36" s="99"/>
      <c r="W36" s="99"/>
      <c r="X36" s="99"/>
      <c r="Y36" s="99"/>
      <c r="Z36" s="99"/>
      <c r="AA36" s="99"/>
      <c r="AB36" s="99"/>
      <c r="AC36" s="99"/>
    </row>
    <row r="37" spans="1:29" ht="15.75" customHeight="1">
      <c r="A37" s="98">
        <v>46119</v>
      </c>
      <c r="B37" s="99" t="s">
        <v>726</v>
      </c>
      <c r="C37" s="99">
        <v>7397643905</v>
      </c>
      <c r="D37" s="99" t="s">
        <v>727</v>
      </c>
      <c r="E37" s="17" t="s">
        <v>48</v>
      </c>
      <c r="F37" s="99" t="s">
        <v>33</v>
      </c>
      <c r="G37" s="99" t="s">
        <v>33</v>
      </c>
      <c r="H37" s="99"/>
      <c r="I37" s="99"/>
      <c r="J37" s="99" t="s">
        <v>33</v>
      </c>
      <c r="K37" s="99" t="s">
        <v>304</v>
      </c>
      <c r="L37" s="99" t="s">
        <v>33</v>
      </c>
      <c r="M37" s="99" t="s">
        <v>33</v>
      </c>
      <c r="N37" s="99" t="s">
        <v>33</v>
      </c>
      <c r="O37" s="49" t="s">
        <v>33</v>
      </c>
      <c r="P37" s="49" t="s">
        <v>33</v>
      </c>
      <c r="Q37" s="99" t="s">
        <v>728</v>
      </c>
      <c r="R37" s="99" t="s">
        <v>729</v>
      </c>
      <c r="S37" s="99" t="s">
        <v>730</v>
      </c>
      <c r="T37" s="99" t="s">
        <v>33</v>
      </c>
      <c r="U37" s="99" t="s">
        <v>33</v>
      </c>
      <c r="V37" s="99"/>
      <c r="W37" s="99"/>
      <c r="X37" s="99"/>
      <c r="Y37" s="99"/>
      <c r="Z37" s="99"/>
      <c r="AA37" s="99"/>
      <c r="AB37" s="99"/>
      <c r="AC37" s="99"/>
    </row>
    <row r="38" spans="1:29" ht="15.75" customHeight="1">
      <c r="A38" s="98">
        <v>46120</v>
      </c>
      <c r="B38" s="99" t="s">
        <v>731</v>
      </c>
      <c r="C38" s="99">
        <v>9962759599</v>
      </c>
      <c r="D38" s="99" t="s">
        <v>732</v>
      </c>
      <c r="E38" s="17" t="s">
        <v>48</v>
      </c>
      <c r="F38" s="99" t="s">
        <v>33</v>
      </c>
      <c r="G38" s="99" t="s">
        <v>33</v>
      </c>
      <c r="H38" s="99"/>
      <c r="I38" s="99"/>
      <c r="J38" s="99"/>
      <c r="K38" s="99"/>
      <c r="L38" s="99" t="s">
        <v>37</v>
      </c>
      <c r="M38" s="99" t="s">
        <v>33</v>
      </c>
      <c r="N38" s="99" t="s">
        <v>33</v>
      </c>
      <c r="O38" s="49" t="s">
        <v>33</v>
      </c>
      <c r="P38" s="49" t="s">
        <v>33</v>
      </c>
      <c r="Q38" s="99" t="s">
        <v>733</v>
      </c>
      <c r="R38" s="99" t="s">
        <v>733</v>
      </c>
      <c r="S38" s="99" t="s">
        <v>734</v>
      </c>
      <c r="T38" s="50" t="s">
        <v>40</v>
      </c>
      <c r="U38" s="99"/>
      <c r="V38" s="99"/>
      <c r="W38" s="99"/>
      <c r="X38" s="99"/>
      <c r="Y38" s="99"/>
      <c r="Z38" s="99" t="s">
        <v>33</v>
      </c>
      <c r="AA38" s="99" t="s">
        <v>33</v>
      </c>
      <c r="AB38" s="99"/>
      <c r="AC38" s="99"/>
    </row>
    <row r="39" spans="1:29" ht="15.75" customHeight="1">
      <c r="A39" s="98">
        <v>46120</v>
      </c>
      <c r="B39" s="99" t="s">
        <v>735</v>
      </c>
      <c r="C39" s="99">
        <v>9629167700</v>
      </c>
      <c r="D39" s="99" t="s">
        <v>736</v>
      </c>
      <c r="E39" s="17" t="s">
        <v>25</v>
      </c>
      <c r="F39" s="99" t="s">
        <v>33</v>
      </c>
      <c r="G39" s="99" t="s">
        <v>33</v>
      </c>
      <c r="H39" s="99"/>
      <c r="I39" s="99"/>
      <c r="J39" s="99"/>
      <c r="K39" s="99"/>
      <c r="L39" s="99" t="s">
        <v>33</v>
      </c>
      <c r="M39" s="99" t="s">
        <v>33</v>
      </c>
      <c r="N39" s="99" t="s">
        <v>33</v>
      </c>
      <c r="O39" s="49" t="s">
        <v>33</v>
      </c>
      <c r="P39" s="49" t="s">
        <v>33</v>
      </c>
      <c r="Q39" s="99" t="s">
        <v>737</v>
      </c>
      <c r="R39" s="99" t="s">
        <v>738</v>
      </c>
      <c r="S39" s="56" t="s">
        <v>739</v>
      </c>
      <c r="T39" s="99" t="s">
        <v>33</v>
      </c>
      <c r="U39" s="99"/>
      <c r="V39" s="99"/>
      <c r="W39" s="99"/>
      <c r="X39" s="99"/>
      <c r="Y39" s="99"/>
      <c r="Z39" s="99"/>
      <c r="AA39" s="99"/>
      <c r="AB39" s="99"/>
      <c r="AC39" s="99"/>
    </row>
    <row r="40" spans="1:29" ht="15.75" customHeight="1">
      <c r="A40" s="98">
        <v>46121</v>
      </c>
      <c r="B40" s="99" t="s">
        <v>726</v>
      </c>
      <c r="C40" s="99">
        <v>7397643905</v>
      </c>
      <c r="D40" s="99" t="s">
        <v>727</v>
      </c>
      <c r="E40" s="17" t="s">
        <v>48</v>
      </c>
      <c r="F40" s="99" t="s">
        <v>62</v>
      </c>
      <c r="G40" s="99" t="s">
        <v>33</v>
      </c>
      <c r="H40" s="99" t="s">
        <v>33</v>
      </c>
      <c r="I40" s="39" t="s">
        <v>67</v>
      </c>
      <c r="J40" s="99" t="s">
        <v>33</v>
      </c>
      <c r="K40" s="99" t="s">
        <v>304</v>
      </c>
      <c r="L40" s="99" t="s">
        <v>33</v>
      </c>
      <c r="M40" s="99" t="s">
        <v>33</v>
      </c>
      <c r="N40" s="99" t="s">
        <v>33</v>
      </c>
      <c r="O40" s="49" t="s">
        <v>33</v>
      </c>
      <c r="P40" s="49" t="s">
        <v>33</v>
      </c>
      <c r="Q40" s="99" t="s">
        <v>205</v>
      </c>
      <c r="R40" s="99" t="s">
        <v>740</v>
      </c>
      <c r="S40" s="99" t="s">
        <v>730</v>
      </c>
      <c r="T40" s="49" t="s">
        <v>40</v>
      </c>
      <c r="U40" s="99" t="s">
        <v>33</v>
      </c>
      <c r="V40" s="99"/>
      <c r="W40" s="99"/>
      <c r="X40" s="99"/>
      <c r="Y40" s="99"/>
      <c r="Z40" s="99"/>
      <c r="AA40" s="99"/>
      <c r="AB40" s="99"/>
      <c r="AC40" s="99"/>
    </row>
    <row r="41" spans="1:29" ht="15.75" customHeight="1">
      <c r="A41" s="98">
        <v>46122</v>
      </c>
      <c r="B41" s="99" t="s">
        <v>741</v>
      </c>
      <c r="C41" s="99">
        <v>9398753265</v>
      </c>
      <c r="D41" s="99" t="s">
        <v>742</v>
      </c>
      <c r="E41" s="17" t="s">
        <v>48</v>
      </c>
      <c r="F41" s="99" t="s">
        <v>33</v>
      </c>
      <c r="G41" s="99" t="s">
        <v>33</v>
      </c>
      <c r="H41" s="99" t="s">
        <v>33</v>
      </c>
      <c r="I41" s="39" t="s">
        <v>67</v>
      </c>
      <c r="J41" s="99" t="s">
        <v>33</v>
      </c>
      <c r="K41" s="99" t="s">
        <v>304</v>
      </c>
      <c r="L41" s="99" t="s">
        <v>33</v>
      </c>
      <c r="M41" s="99" t="s">
        <v>33</v>
      </c>
      <c r="N41" s="99" t="s">
        <v>33</v>
      </c>
      <c r="O41" s="49" t="s">
        <v>33</v>
      </c>
      <c r="P41" s="49" t="s">
        <v>33</v>
      </c>
      <c r="Q41" s="99" t="s">
        <v>153</v>
      </c>
      <c r="R41" s="99" t="s">
        <v>399</v>
      </c>
      <c r="S41" s="99" t="s">
        <v>743</v>
      </c>
      <c r="T41" s="99" t="s">
        <v>33</v>
      </c>
      <c r="U41" s="99"/>
      <c r="V41" s="99"/>
      <c r="W41" s="99"/>
      <c r="X41" s="99"/>
      <c r="Y41" s="99"/>
      <c r="Z41" s="99"/>
      <c r="AA41" s="99"/>
      <c r="AB41" s="99"/>
      <c r="AC41" s="99"/>
    </row>
    <row r="42" spans="1:29" ht="15.75" customHeight="1">
      <c r="A42" s="98">
        <v>46122</v>
      </c>
      <c r="B42" s="99" t="s">
        <v>744</v>
      </c>
      <c r="C42" s="99">
        <v>9952008004</v>
      </c>
      <c r="D42" s="55" t="s">
        <v>745</v>
      </c>
      <c r="E42" s="17" t="s">
        <v>25</v>
      </c>
      <c r="F42" s="99" t="s">
        <v>33</v>
      </c>
      <c r="G42" s="99" t="s">
        <v>33</v>
      </c>
      <c r="H42" s="99"/>
      <c r="I42" s="99"/>
      <c r="J42" s="99"/>
      <c r="K42" s="99"/>
      <c r="L42" s="99" t="s">
        <v>37</v>
      </c>
      <c r="M42" s="99" t="s">
        <v>33</v>
      </c>
      <c r="N42" s="99" t="s">
        <v>33</v>
      </c>
      <c r="O42" s="49" t="s">
        <v>33</v>
      </c>
      <c r="P42" s="49" t="s">
        <v>33</v>
      </c>
      <c r="Q42" s="99" t="s">
        <v>545</v>
      </c>
      <c r="R42" s="99" t="s">
        <v>746</v>
      </c>
      <c r="S42" s="99" t="s">
        <v>747</v>
      </c>
      <c r="T42" s="49" t="s">
        <v>40</v>
      </c>
      <c r="U42" s="99"/>
      <c r="V42" s="99"/>
      <c r="W42" s="99" t="s">
        <v>33</v>
      </c>
      <c r="X42" s="99"/>
      <c r="Y42" s="99"/>
      <c r="Z42" s="99"/>
      <c r="AA42" s="99"/>
      <c r="AB42" s="99" t="s">
        <v>33</v>
      </c>
      <c r="AC42" s="99"/>
    </row>
    <row r="43" spans="1:29" ht="15.75" customHeight="1">
      <c r="A43" s="98">
        <v>46122</v>
      </c>
      <c r="B43" s="99" t="s">
        <v>748</v>
      </c>
      <c r="C43" s="99">
        <v>9361788160</v>
      </c>
      <c r="D43" s="99" t="s">
        <v>749</v>
      </c>
      <c r="E43" s="17" t="s">
        <v>319</v>
      </c>
      <c r="F43" s="99" t="s">
        <v>33</v>
      </c>
      <c r="G43" s="99" t="s">
        <v>33</v>
      </c>
      <c r="H43" s="99"/>
      <c r="I43" s="99"/>
      <c r="J43" s="99"/>
      <c r="K43" s="99"/>
      <c r="L43" s="99" t="s">
        <v>33</v>
      </c>
      <c r="M43" s="99" t="s">
        <v>33</v>
      </c>
      <c r="N43" s="99" t="s">
        <v>33</v>
      </c>
      <c r="O43" s="49" t="s">
        <v>33</v>
      </c>
      <c r="P43" s="49" t="s">
        <v>33</v>
      </c>
      <c r="Q43" s="99" t="s">
        <v>750</v>
      </c>
      <c r="R43" s="99" t="s">
        <v>412</v>
      </c>
      <c r="S43" s="57"/>
      <c r="T43" s="99" t="s">
        <v>33</v>
      </c>
      <c r="U43" s="99"/>
      <c r="V43" s="99"/>
      <c r="W43" s="99"/>
      <c r="X43" s="99"/>
      <c r="Y43" s="99"/>
      <c r="Z43" s="99"/>
      <c r="AA43" s="99"/>
      <c r="AB43" s="99"/>
      <c r="AC43" s="99"/>
    </row>
    <row r="44" spans="1:29" ht="15.75" customHeight="1">
      <c r="A44" s="98">
        <v>46125</v>
      </c>
      <c r="B44" s="99" t="s">
        <v>469</v>
      </c>
      <c r="C44" s="99" t="s">
        <v>751</v>
      </c>
      <c r="D44" s="99" t="s">
        <v>470</v>
      </c>
      <c r="E44" s="17" t="s">
        <v>43</v>
      </c>
      <c r="F44" s="99" t="s">
        <v>62</v>
      </c>
      <c r="G44" s="99" t="s">
        <v>33</v>
      </c>
      <c r="H44" s="99" t="s">
        <v>33</v>
      </c>
      <c r="I44" s="39" t="s">
        <v>471</v>
      </c>
      <c r="J44" s="99" t="s">
        <v>33</v>
      </c>
      <c r="K44" s="99" t="s">
        <v>304</v>
      </c>
      <c r="L44" s="99" t="s">
        <v>33</v>
      </c>
      <c r="M44" s="99" t="s">
        <v>33</v>
      </c>
      <c r="N44" s="99" t="s">
        <v>33</v>
      </c>
      <c r="O44" s="49" t="s">
        <v>33</v>
      </c>
      <c r="P44" s="49" t="s">
        <v>33</v>
      </c>
      <c r="Q44" s="99" t="s">
        <v>211</v>
      </c>
      <c r="R44" s="99" t="s">
        <v>472</v>
      </c>
      <c r="S44" s="20" t="s">
        <v>473</v>
      </c>
      <c r="T44" s="50" t="s">
        <v>40</v>
      </c>
      <c r="U44" s="99"/>
      <c r="V44" s="99"/>
      <c r="W44" s="99"/>
      <c r="X44" s="99"/>
      <c r="Y44" s="99"/>
      <c r="Z44" s="99"/>
      <c r="AA44" s="99"/>
      <c r="AB44" s="99"/>
      <c r="AC44" s="99"/>
    </row>
    <row r="45" spans="1:29" ht="15.75" customHeight="1">
      <c r="A45" s="98">
        <v>46125</v>
      </c>
      <c r="B45" s="99" t="s">
        <v>752</v>
      </c>
      <c r="C45" s="99">
        <v>9841230440</v>
      </c>
      <c r="D45" s="99" t="s">
        <v>753</v>
      </c>
      <c r="E45" s="17" t="s">
        <v>86</v>
      </c>
      <c r="F45" s="99" t="s">
        <v>33</v>
      </c>
      <c r="G45" s="99" t="s">
        <v>33</v>
      </c>
      <c r="H45" s="99" t="s">
        <v>33</v>
      </c>
      <c r="I45" s="39" t="s">
        <v>67</v>
      </c>
      <c r="J45" s="99" t="s">
        <v>33</v>
      </c>
      <c r="K45" s="99" t="s">
        <v>304</v>
      </c>
      <c r="L45" s="99" t="s">
        <v>33</v>
      </c>
      <c r="M45" s="99" t="s">
        <v>33</v>
      </c>
      <c r="N45" s="99" t="s">
        <v>33</v>
      </c>
      <c r="O45" s="49" t="s">
        <v>33</v>
      </c>
      <c r="P45" s="49" t="s">
        <v>33</v>
      </c>
      <c r="Q45" s="99" t="s">
        <v>754</v>
      </c>
      <c r="R45" s="99" t="s">
        <v>755</v>
      </c>
      <c r="S45" s="99" t="s">
        <v>756</v>
      </c>
      <c r="T45" s="50" t="s">
        <v>40</v>
      </c>
      <c r="U45" s="99"/>
      <c r="V45" s="99"/>
      <c r="W45" s="99"/>
      <c r="X45" s="99"/>
      <c r="Y45" s="99"/>
      <c r="Z45" s="99"/>
      <c r="AA45" s="99"/>
      <c r="AB45" s="99"/>
      <c r="AC45" s="99"/>
    </row>
    <row r="46" spans="1:29" ht="15.75" customHeight="1">
      <c r="A46" s="98">
        <v>46125</v>
      </c>
      <c r="B46" s="99" t="s">
        <v>757</v>
      </c>
      <c r="C46" s="99">
        <v>9884752628</v>
      </c>
      <c r="D46" s="99" t="s">
        <v>758</v>
      </c>
      <c r="E46" s="17" t="s">
        <v>25</v>
      </c>
      <c r="F46" s="99" t="s">
        <v>33</v>
      </c>
      <c r="G46" s="99" t="s">
        <v>33</v>
      </c>
      <c r="H46" s="99" t="s">
        <v>33</v>
      </c>
      <c r="I46" s="39" t="s">
        <v>759</v>
      </c>
      <c r="J46" s="99" t="s">
        <v>33</v>
      </c>
      <c r="K46" s="40" t="s">
        <v>760</v>
      </c>
      <c r="L46" s="99" t="s">
        <v>33</v>
      </c>
      <c r="M46" s="99" t="s">
        <v>33</v>
      </c>
      <c r="N46" s="99" t="s">
        <v>33</v>
      </c>
      <c r="O46" s="49" t="s">
        <v>33</v>
      </c>
      <c r="P46" s="49" t="s">
        <v>33</v>
      </c>
      <c r="Q46" s="99" t="s">
        <v>761</v>
      </c>
      <c r="R46" s="99" t="s">
        <v>762</v>
      </c>
      <c r="S46" s="99" t="s">
        <v>763</v>
      </c>
      <c r="T46" s="49" t="s">
        <v>40</v>
      </c>
      <c r="U46" s="99"/>
      <c r="V46" s="99"/>
      <c r="W46" s="99"/>
      <c r="X46" s="99"/>
      <c r="Y46" s="99"/>
      <c r="Z46" s="99"/>
      <c r="AA46" s="99" t="s">
        <v>33</v>
      </c>
      <c r="AB46" s="99"/>
      <c r="AC46" s="99"/>
    </row>
    <row r="47" spans="1:29" ht="15.75" customHeight="1">
      <c r="A47" s="98">
        <v>46127</v>
      </c>
      <c r="B47" s="99" t="s">
        <v>629</v>
      </c>
      <c r="C47" s="99">
        <v>6385829022</v>
      </c>
      <c r="D47" s="99" t="s">
        <v>630</v>
      </c>
      <c r="E47" s="17" t="s">
        <v>48</v>
      </c>
      <c r="F47" s="99" t="s">
        <v>62</v>
      </c>
      <c r="G47" s="60" t="s">
        <v>37</v>
      </c>
      <c r="H47" s="99" t="s">
        <v>33</v>
      </c>
      <c r="I47" s="39" t="s">
        <v>410</v>
      </c>
      <c r="J47" s="99" t="s">
        <v>33</v>
      </c>
      <c r="K47" s="99" t="s">
        <v>304</v>
      </c>
      <c r="L47" s="99" t="s">
        <v>33</v>
      </c>
      <c r="M47" s="99" t="s">
        <v>33</v>
      </c>
      <c r="N47" s="99" t="s">
        <v>33</v>
      </c>
      <c r="O47" s="49" t="s">
        <v>33</v>
      </c>
      <c r="P47" s="49" t="s">
        <v>33</v>
      </c>
      <c r="Q47" s="99" t="s">
        <v>465</v>
      </c>
      <c r="R47" s="99" t="s">
        <v>465</v>
      </c>
      <c r="S47" s="99" t="s">
        <v>631</v>
      </c>
      <c r="T47" s="49" t="s">
        <v>40</v>
      </c>
      <c r="U47" s="99"/>
      <c r="V47" s="99"/>
      <c r="W47" s="99"/>
      <c r="X47" s="99"/>
      <c r="Y47" s="99"/>
      <c r="Z47" s="99"/>
      <c r="AA47" s="99"/>
      <c r="AB47" s="99"/>
      <c r="AC47" s="99" t="s">
        <v>33</v>
      </c>
    </row>
    <row r="48" spans="1:29" ht="18.75" customHeight="1">
      <c r="A48" s="98">
        <v>46127</v>
      </c>
      <c r="B48" s="99" t="s">
        <v>764</v>
      </c>
      <c r="C48" s="99">
        <v>8523830666</v>
      </c>
      <c r="D48" s="99" t="s">
        <v>765</v>
      </c>
      <c r="E48" s="17" t="s">
        <v>86</v>
      </c>
      <c r="F48" s="99" t="s">
        <v>33</v>
      </c>
      <c r="G48" s="99" t="s">
        <v>33</v>
      </c>
      <c r="H48" s="99" t="s">
        <v>33</v>
      </c>
      <c r="I48" s="39" t="s">
        <v>766</v>
      </c>
      <c r="J48" s="99" t="s">
        <v>33</v>
      </c>
      <c r="K48" s="40" t="s">
        <v>767</v>
      </c>
      <c r="L48" s="99" t="s">
        <v>33</v>
      </c>
      <c r="M48" s="99" t="s">
        <v>33</v>
      </c>
      <c r="N48" s="99" t="s">
        <v>33</v>
      </c>
      <c r="O48" s="49" t="s">
        <v>33</v>
      </c>
      <c r="P48" s="49" t="s">
        <v>33</v>
      </c>
      <c r="Q48" s="99" t="s">
        <v>92</v>
      </c>
      <c r="R48" s="99" t="s">
        <v>768</v>
      </c>
      <c r="S48" s="99" t="s">
        <v>769</v>
      </c>
      <c r="T48" s="99" t="s">
        <v>33</v>
      </c>
      <c r="U48" s="99"/>
      <c r="V48" s="99"/>
      <c r="W48" s="99"/>
      <c r="X48" s="99"/>
      <c r="Y48" s="99"/>
      <c r="Z48" s="99"/>
      <c r="AA48" s="99"/>
      <c r="AB48" s="99"/>
      <c r="AC48" s="99"/>
    </row>
    <row r="49" spans="1:29" ht="15.75" customHeight="1">
      <c r="A49" s="98">
        <v>46127</v>
      </c>
      <c r="B49" s="99" t="s">
        <v>770</v>
      </c>
      <c r="C49" s="99">
        <v>7373324869</v>
      </c>
      <c r="D49" s="99" t="s">
        <v>771</v>
      </c>
      <c r="E49" s="17" t="s">
        <v>86</v>
      </c>
      <c r="F49" s="99" t="s">
        <v>33</v>
      </c>
      <c r="G49" s="99" t="s">
        <v>33</v>
      </c>
      <c r="H49" s="99" t="s">
        <v>33</v>
      </c>
      <c r="I49" s="39" t="s">
        <v>482</v>
      </c>
      <c r="J49" s="99" t="s">
        <v>33</v>
      </c>
      <c r="K49" s="99" t="s">
        <v>304</v>
      </c>
      <c r="L49" s="99" t="s">
        <v>33</v>
      </c>
      <c r="M49" s="99" t="s">
        <v>33</v>
      </c>
      <c r="N49" s="99" t="s">
        <v>33</v>
      </c>
      <c r="O49" s="49" t="s">
        <v>33</v>
      </c>
      <c r="P49" s="49" t="s">
        <v>33</v>
      </c>
      <c r="Q49" s="99" t="s">
        <v>772</v>
      </c>
      <c r="R49" s="99" t="s">
        <v>773</v>
      </c>
      <c r="S49" s="99" t="s">
        <v>774</v>
      </c>
      <c r="T49" s="49" t="s">
        <v>40</v>
      </c>
      <c r="U49" s="99"/>
      <c r="V49" s="99"/>
      <c r="W49" s="99"/>
      <c r="X49" s="99"/>
      <c r="Y49" s="99"/>
      <c r="Z49" s="99"/>
      <c r="AA49" s="99"/>
      <c r="AB49" s="99"/>
      <c r="AC49" s="99"/>
    </row>
    <row r="50" spans="1:29" ht="15.75" customHeight="1">
      <c r="A50" s="98">
        <v>46128</v>
      </c>
      <c r="B50" s="99" t="s">
        <v>775</v>
      </c>
      <c r="C50" s="99">
        <v>9789992270</v>
      </c>
      <c r="D50" s="99" t="s">
        <v>776</v>
      </c>
      <c r="E50" s="17" t="s">
        <v>251</v>
      </c>
      <c r="F50" s="99" t="s">
        <v>33</v>
      </c>
      <c r="G50" s="99" t="s">
        <v>33</v>
      </c>
      <c r="H50" s="99"/>
      <c r="I50" s="99"/>
      <c r="J50" s="99"/>
      <c r="K50" s="99"/>
      <c r="L50" s="99" t="s">
        <v>33</v>
      </c>
      <c r="M50" s="99" t="s">
        <v>33</v>
      </c>
      <c r="N50" s="99" t="s">
        <v>33</v>
      </c>
      <c r="O50" s="49" t="s">
        <v>33</v>
      </c>
      <c r="P50" s="49" t="s">
        <v>33</v>
      </c>
      <c r="Q50" s="99" t="s">
        <v>777</v>
      </c>
      <c r="R50" s="99" t="s">
        <v>778</v>
      </c>
      <c r="S50" s="99" t="s">
        <v>779</v>
      </c>
      <c r="T50" s="49" t="s">
        <v>40</v>
      </c>
      <c r="U50" s="99" t="s">
        <v>33</v>
      </c>
      <c r="V50" s="99" t="s">
        <v>33</v>
      </c>
      <c r="W50" s="99"/>
      <c r="X50" s="99" t="s">
        <v>33</v>
      </c>
      <c r="Y50" s="99"/>
      <c r="Z50" s="99"/>
      <c r="AA50" s="99"/>
      <c r="AB50" s="99"/>
      <c r="AC50" s="99"/>
    </row>
    <row r="51" spans="1:29" ht="15.75" customHeight="1">
      <c r="A51" s="98">
        <v>46128</v>
      </c>
      <c r="B51" s="99" t="s">
        <v>721</v>
      </c>
      <c r="C51" s="99">
        <v>9600305697</v>
      </c>
      <c r="D51" s="99" t="s">
        <v>722</v>
      </c>
      <c r="E51" s="17" t="s">
        <v>43</v>
      </c>
      <c r="F51" s="99" t="s">
        <v>62</v>
      </c>
      <c r="G51" s="99" t="s">
        <v>33</v>
      </c>
      <c r="H51" s="99" t="s">
        <v>33</v>
      </c>
      <c r="I51" s="39" t="s">
        <v>780</v>
      </c>
      <c r="J51" s="99" t="s">
        <v>33</v>
      </c>
      <c r="K51" s="99" t="s">
        <v>304</v>
      </c>
      <c r="L51" s="99" t="s">
        <v>33</v>
      </c>
      <c r="M51" s="99" t="s">
        <v>33</v>
      </c>
      <c r="N51" s="99" t="s">
        <v>33</v>
      </c>
      <c r="O51" s="49" t="s">
        <v>33</v>
      </c>
      <c r="P51" s="49" t="s">
        <v>33</v>
      </c>
      <c r="Q51" s="99" t="s">
        <v>723</v>
      </c>
      <c r="R51" s="99" t="s">
        <v>724</v>
      </c>
      <c r="S51" s="99" t="s">
        <v>781</v>
      </c>
      <c r="T51" s="49" t="s">
        <v>40</v>
      </c>
      <c r="U51" s="99"/>
      <c r="V51" s="99"/>
      <c r="W51" s="99"/>
      <c r="X51" s="99"/>
      <c r="Y51" s="99"/>
      <c r="Z51" s="99"/>
      <c r="AA51" s="99"/>
      <c r="AB51" s="99"/>
      <c r="AC51" s="99"/>
    </row>
    <row r="52" spans="1:29" ht="15.75" customHeight="1">
      <c r="A52" s="98">
        <v>46128</v>
      </c>
      <c r="B52" s="99" t="s">
        <v>617</v>
      </c>
      <c r="C52" s="99">
        <v>9941614197</v>
      </c>
      <c r="D52" s="99" t="s">
        <v>618</v>
      </c>
      <c r="E52" s="17" t="s">
        <v>86</v>
      </c>
      <c r="F52" s="99" t="s">
        <v>62</v>
      </c>
      <c r="G52" s="99" t="s">
        <v>33</v>
      </c>
      <c r="H52" s="99"/>
      <c r="I52" s="99"/>
      <c r="J52" s="99"/>
      <c r="K52" s="99"/>
      <c r="L52" s="99" t="s">
        <v>33</v>
      </c>
      <c r="M52" s="99" t="s">
        <v>33</v>
      </c>
      <c r="N52" s="99" t="s">
        <v>33</v>
      </c>
      <c r="O52" s="49" t="s">
        <v>33</v>
      </c>
      <c r="P52" s="49" t="s">
        <v>33</v>
      </c>
      <c r="Q52" s="99" t="s">
        <v>205</v>
      </c>
      <c r="R52" s="99" t="s">
        <v>782</v>
      </c>
      <c r="S52" s="99" t="s">
        <v>620</v>
      </c>
      <c r="T52" s="49" t="s">
        <v>40</v>
      </c>
      <c r="U52" s="99" t="s">
        <v>33</v>
      </c>
      <c r="V52" s="99"/>
      <c r="W52" s="99"/>
      <c r="X52" s="99"/>
      <c r="Y52" s="99"/>
      <c r="Z52" s="99"/>
      <c r="AA52" s="99"/>
      <c r="AB52" s="99"/>
      <c r="AC52" s="99"/>
    </row>
    <row r="53" spans="1:29" ht="15.75" customHeight="1">
      <c r="A53" s="98">
        <v>46128</v>
      </c>
      <c r="B53" s="99" t="s">
        <v>783</v>
      </c>
      <c r="C53" s="99">
        <v>9962759599</v>
      </c>
      <c r="D53" s="99" t="s">
        <v>732</v>
      </c>
      <c r="E53" s="17" t="s">
        <v>48</v>
      </c>
      <c r="F53" s="99" t="s">
        <v>62</v>
      </c>
      <c r="G53" s="99" t="s">
        <v>33</v>
      </c>
      <c r="H53" s="99" t="s">
        <v>33</v>
      </c>
      <c r="I53" s="39" t="s">
        <v>784</v>
      </c>
      <c r="J53" s="99" t="s">
        <v>33</v>
      </c>
      <c r="K53" s="40" t="s">
        <v>785</v>
      </c>
      <c r="L53" s="99" t="s">
        <v>33</v>
      </c>
      <c r="M53" s="99" t="s">
        <v>33</v>
      </c>
      <c r="N53" s="99" t="s">
        <v>33</v>
      </c>
      <c r="O53" s="49" t="s">
        <v>33</v>
      </c>
      <c r="P53" s="49" t="s">
        <v>33</v>
      </c>
      <c r="Q53" s="99" t="s">
        <v>786</v>
      </c>
      <c r="R53" s="99" t="s">
        <v>787</v>
      </c>
      <c r="S53" s="99" t="s">
        <v>788</v>
      </c>
      <c r="T53" s="50" t="s">
        <v>40</v>
      </c>
      <c r="U53" s="99"/>
      <c r="V53" s="99"/>
      <c r="W53" s="99"/>
      <c r="X53" s="99"/>
      <c r="Y53" s="99"/>
      <c r="Z53" s="99" t="s">
        <v>33</v>
      </c>
      <c r="AA53" s="99" t="s">
        <v>33</v>
      </c>
      <c r="AB53" s="99"/>
      <c r="AC53" s="99"/>
    </row>
    <row r="54" spans="1:29" ht="15.75" customHeight="1">
      <c r="A54" s="98">
        <v>46132</v>
      </c>
      <c r="B54" s="99" t="s">
        <v>789</v>
      </c>
      <c r="C54" s="99">
        <v>6369729082</v>
      </c>
      <c r="D54" s="99" t="s">
        <v>790</v>
      </c>
      <c r="E54" s="17" t="s">
        <v>48</v>
      </c>
      <c r="F54" s="99" t="s">
        <v>33</v>
      </c>
      <c r="G54" s="99" t="s">
        <v>300</v>
      </c>
      <c r="H54" s="99" t="s">
        <v>33</v>
      </c>
      <c r="I54" s="39" t="s">
        <v>791</v>
      </c>
      <c r="J54" s="99"/>
      <c r="K54" s="99"/>
      <c r="L54" s="99" t="s">
        <v>33</v>
      </c>
      <c r="M54" s="99" t="s">
        <v>33</v>
      </c>
      <c r="N54" s="99" t="s">
        <v>33</v>
      </c>
      <c r="O54" s="49" t="s">
        <v>33</v>
      </c>
      <c r="P54" s="49" t="s">
        <v>33</v>
      </c>
      <c r="Q54" s="99" t="s">
        <v>792</v>
      </c>
      <c r="R54" s="99" t="s">
        <v>793</v>
      </c>
      <c r="S54" s="99" t="s">
        <v>794</v>
      </c>
      <c r="T54" s="49" t="s">
        <v>40</v>
      </c>
      <c r="U54" s="99"/>
      <c r="V54" s="99"/>
      <c r="W54" s="99"/>
      <c r="X54" s="99"/>
      <c r="Y54" s="99"/>
      <c r="Z54" s="99"/>
      <c r="AA54" s="99"/>
      <c r="AB54" s="99"/>
      <c r="AC54" s="99"/>
    </row>
    <row r="55" spans="1:29" ht="15.75" customHeight="1">
      <c r="A55" s="98">
        <v>46132</v>
      </c>
      <c r="B55" s="99" t="s">
        <v>795</v>
      </c>
      <c r="C55" s="99">
        <v>9912954474</v>
      </c>
      <c r="D55" s="99" t="s">
        <v>796</v>
      </c>
      <c r="E55" s="17" t="s">
        <v>48</v>
      </c>
      <c r="F55" s="99" t="s">
        <v>33</v>
      </c>
      <c r="G55" s="99" t="s">
        <v>300</v>
      </c>
      <c r="H55" s="99" t="s">
        <v>33</v>
      </c>
      <c r="I55" s="39" t="s">
        <v>482</v>
      </c>
      <c r="J55" s="99" t="s">
        <v>797</v>
      </c>
      <c r="K55" s="99" t="s">
        <v>304</v>
      </c>
      <c r="L55" s="99" t="s">
        <v>33</v>
      </c>
      <c r="M55" s="99" t="s">
        <v>33</v>
      </c>
      <c r="N55" s="99" t="s">
        <v>33</v>
      </c>
      <c r="O55" s="49" t="s">
        <v>33</v>
      </c>
      <c r="P55" s="49" t="s">
        <v>33</v>
      </c>
      <c r="Q55" s="99" t="s">
        <v>798</v>
      </c>
      <c r="R55" s="99" t="s">
        <v>799</v>
      </c>
      <c r="S55" s="99" t="s">
        <v>800</v>
      </c>
      <c r="T55" s="99" t="s">
        <v>33</v>
      </c>
      <c r="U55" s="99"/>
      <c r="V55" s="99"/>
      <c r="W55" s="99"/>
      <c r="X55" s="99"/>
      <c r="Y55" s="99"/>
      <c r="Z55" s="99"/>
      <c r="AA55" s="99"/>
      <c r="AB55" s="99"/>
      <c r="AC55" s="99"/>
    </row>
    <row r="56" spans="1:29" ht="15.75" customHeight="1">
      <c r="A56" s="98">
        <v>46132</v>
      </c>
      <c r="B56" s="99" t="s">
        <v>801</v>
      </c>
      <c r="C56" s="99">
        <v>9390700596</v>
      </c>
      <c r="D56" s="99" t="s">
        <v>802</v>
      </c>
      <c r="E56" s="17" t="s">
        <v>48</v>
      </c>
      <c r="F56" s="99" t="s">
        <v>33</v>
      </c>
      <c r="G56" s="99" t="s">
        <v>300</v>
      </c>
      <c r="H56" s="99" t="s">
        <v>33</v>
      </c>
      <c r="I56" s="39" t="s">
        <v>803</v>
      </c>
      <c r="J56" s="99"/>
      <c r="K56" s="99"/>
      <c r="L56" s="99" t="s">
        <v>33</v>
      </c>
      <c r="M56" s="99" t="s">
        <v>33</v>
      </c>
      <c r="N56" s="99" t="s">
        <v>33</v>
      </c>
      <c r="O56" s="49" t="s">
        <v>33</v>
      </c>
      <c r="P56" s="49" t="s">
        <v>33</v>
      </c>
      <c r="Q56" s="99" t="s">
        <v>697</v>
      </c>
      <c r="R56" s="99" t="s">
        <v>804</v>
      </c>
      <c r="S56" s="99" t="s">
        <v>805</v>
      </c>
      <c r="T56" s="50" t="s">
        <v>40</v>
      </c>
      <c r="U56" s="99"/>
      <c r="V56" s="99"/>
      <c r="W56" s="99"/>
      <c r="X56" s="99"/>
      <c r="Y56" s="99"/>
      <c r="Z56" s="99"/>
      <c r="AA56" s="99"/>
      <c r="AB56" s="99"/>
      <c r="AC56" s="99"/>
    </row>
    <row r="57" spans="1:29" ht="15.75" customHeight="1">
      <c r="A57" s="98">
        <v>46133</v>
      </c>
      <c r="B57" s="99" t="s">
        <v>806</v>
      </c>
      <c r="C57" s="99">
        <v>7680802042</v>
      </c>
      <c r="D57" s="99" t="s">
        <v>807</v>
      </c>
      <c r="E57" s="17" t="s">
        <v>25</v>
      </c>
      <c r="F57" s="99" t="s">
        <v>33</v>
      </c>
      <c r="G57" s="60" t="s">
        <v>37</v>
      </c>
      <c r="H57" s="99" t="s">
        <v>300</v>
      </c>
      <c r="I57" s="39" t="s">
        <v>808</v>
      </c>
      <c r="J57" s="99" t="s">
        <v>33</v>
      </c>
      <c r="K57" s="99" t="s">
        <v>304</v>
      </c>
      <c r="L57" s="99" t="s">
        <v>33</v>
      </c>
      <c r="M57" s="99" t="s">
        <v>33</v>
      </c>
      <c r="N57" s="99" t="s">
        <v>33</v>
      </c>
      <c r="O57" s="49" t="s">
        <v>33</v>
      </c>
      <c r="P57" s="49" t="s">
        <v>33</v>
      </c>
      <c r="Q57" s="99" t="s">
        <v>697</v>
      </c>
      <c r="R57" s="99" t="s">
        <v>809</v>
      </c>
      <c r="S57" s="55" t="s">
        <v>810</v>
      </c>
      <c r="T57" s="50" t="s">
        <v>40</v>
      </c>
      <c r="U57" s="99" t="s">
        <v>33</v>
      </c>
      <c r="V57" s="99"/>
      <c r="W57" s="99"/>
      <c r="X57" s="99"/>
      <c r="Y57" s="99"/>
      <c r="Z57" s="99"/>
      <c r="AA57" s="99" t="s">
        <v>33</v>
      </c>
      <c r="AB57" s="99"/>
      <c r="AC57" s="99"/>
    </row>
    <row r="58" spans="1:29" ht="15.75" customHeight="1">
      <c r="A58" s="98">
        <v>46133</v>
      </c>
      <c r="B58" s="99" t="s">
        <v>655</v>
      </c>
      <c r="C58" s="99">
        <v>9840810807</v>
      </c>
      <c r="D58" s="99" t="s">
        <v>656</v>
      </c>
      <c r="E58" s="17" t="s">
        <v>26</v>
      </c>
      <c r="F58" s="99" t="s">
        <v>62</v>
      </c>
      <c r="G58" s="99" t="s">
        <v>33</v>
      </c>
      <c r="H58" s="99"/>
      <c r="I58" s="99"/>
      <c r="J58" s="99"/>
      <c r="K58" s="99"/>
      <c r="L58" s="99" t="s">
        <v>33</v>
      </c>
      <c r="M58" s="99" t="s">
        <v>33</v>
      </c>
      <c r="N58" s="99" t="s">
        <v>33</v>
      </c>
      <c r="O58" s="49" t="s">
        <v>33</v>
      </c>
      <c r="P58" s="49" t="s">
        <v>33</v>
      </c>
      <c r="Q58" s="99" t="s">
        <v>657</v>
      </c>
      <c r="R58" s="99" t="s">
        <v>658</v>
      </c>
      <c r="S58" s="99" t="s">
        <v>659</v>
      </c>
      <c r="T58" s="99" t="s">
        <v>33</v>
      </c>
      <c r="U58" s="99"/>
      <c r="V58" s="99" t="s">
        <v>33</v>
      </c>
      <c r="W58" s="99" t="s">
        <v>33</v>
      </c>
      <c r="X58" s="99"/>
      <c r="Y58" s="99"/>
      <c r="Z58" s="99" t="s">
        <v>33</v>
      </c>
      <c r="AA58" s="99"/>
      <c r="AB58" s="99"/>
      <c r="AC58" s="99"/>
    </row>
    <row r="59" spans="1:29" ht="15.75" customHeight="1">
      <c r="A59" s="98">
        <v>46134</v>
      </c>
      <c r="B59" s="99" t="s">
        <v>811</v>
      </c>
      <c r="C59" s="99">
        <v>9940496282</v>
      </c>
      <c r="D59" s="99" t="s">
        <v>812</v>
      </c>
      <c r="E59" s="17" t="s">
        <v>26</v>
      </c>
      <c r="F59" s="99" t="s">
        <v>33</v>
      </c>
      <c r="G59" s="99" t="s">
        <v>33</v>
      </c>
      <c r="H59" s="99" t="s">
        <v>300</v>
      </c>
      <c r="I59" s="39" t="s">
        <v>813</v>
      </c>
      <c r="J59" s="99"/>
      <c r="K59" s="99"/>
      <c r="L59" s="99" t="s">
        <v>33</v>
      </c>
      <c r="M59" s="99" t="s">
        <v>33</v>
      </c>
      <c r="N59" s="99" t="s">
        <v>33</v>
      </c>
      <c r="O59" s="49" t="s">
        <v>33</v>
      </c>
      <c r="P59" s="49" t="s">
        <v>33</v>
      </c>
      <c r="Q59" s="99" t="s">
        <v>92</v>
      </c>
      <c r="R59" s="99" t="s">
        <v>814</v>
      </c>
      <c r="S59" s="99" t="s">
        <v>815</v>
      </c>
      <c r="T59" s="50" t="s">
        <v>40</v>
      </c>
      <c r="U59" s="99"/>
      <c r="V59" s="99"/>
      <c r="W59" s="99"/>
      <c r="X59" s="99"/>
      <c r="Y59" s="99"/>
      <c r="Z59" s="99"/>
      <c r="AA59" s="99"/>
      <c r="AB59" s="99"/>
      <c r="AC59" s="99"/>
    </row>
    <row r="60" spans="1:29" ht="15.75" customHeight="1">
      <c r="A60" s="98">
        <v>46134</v>
      </c>
      <c r="B60" s="99" t="s">
        <v>816</v>
      </c>
      <c r="C60" s="99" t="s">
        <v>817</v>
      </c>
      <c r="D60" s="99" t="s">
        <v>818</v>
      </c>
      <c r="E60" s="17" t="s">
        <v>251</v>
      </c>
      <c r="F60" s="99" t="s">
        <v>62</v>
      </c>
      <c r="G60" s="99" t="s">
        <v>33</v>
      </c>
      <c r="H60" s="99" t="s">
        <v>300</v>
      </c>
      <c r="I60" s="39" t="s">
        <v>67</v>
      </c>
      <c r="J60" s="99" t="s">
        <v>300</v>
      </c>
      <c r="K60" s="99" t="s">
        <v>304</v>
      </c>
      <c r="L60" s="99" t="s">
        <v>33</v>
      </c>
      <c r="M60" s="99" t="s">
        <v>33</v>
      </c>
      <c r="N60" s="99" t="s">
        <v>33</v>
      </c>
      <c r="O60" s="49" t="s">
        <v>33</v>
      </c>
      <c r="P60" s="49" t="s">
        <v>33</v>
      </c>
      <c r="Q60" s="99" t="s">
        <v>671</v>
      </c>
      <c r="R60" s="99" t="s">
        <v>819</v>
      </c>
      <c r="S60" s="99" t="s">
        <v>820</v>
      </c>
      <c r="T60" s="99" t="s">
        <v>33</v>
      </c>
      <c r="U60" s="99"/>
      <c r="V60" s="99"/>
      <c r="W60" s="99"/>
      <c r="X60" s="99"/>
      <c r="Y60" s="99"/>
      <c r="Z60" s="99"/>
      <c r="AA60" s="99"/>
      <c r="AB60" s="99"/>
      <c r="AC60" s="99"/>
    </row>
    <row r="61" spans="1:29" ht="15.75" customHeight="1">
      <c r="A61" s="98">
        <v>46134</v>
      </c>
      <c r="B61" s="99" t="s">
        <v>821</v>
      </c>
      <c r="C61" s="99">
        <v>9431356175</v>
      </c>
      <c r="D61" s="99" t="s">
        <v>822</v>
      </c>
      <c r="E61" s="17" t="s">
        <v>48</v>
      </c>
      <c r="F61" s="99" t="s">
        <v>33</v>
      </c>
      <c r="G61" s="60" t="s">
        <v>37</v>
      </c>
      <c r="H61" s="99"/>
      <c r="I61" s="99"/>
      <c r="J61" s="99"/>
      <c r="K61" s="99"/>
      <c r="L61" s="99" t="s">
        <v>33</v>
      </c>
      <c r="M61" s="99" t="s">
        <v>33</v>
      </c>
      <c r="N61" s="99" t="s">
        <v>33</v>
      </c>
      <c r="O61" s="49" t="s">
        <v>33</v>
      </c>
      <c r="P61" s="49" t="s">
        <v>33</v>
      </c>
      <c r="Q61" s="99" t="s">
        <v>798</v>
      </c>
      <c r="R61" s="99" t="s">
        <v>799</v>
      </c>
      <c r="S61" s="99"/>
      <c r="T61" s="99" t="s">
        <v>33</v>
      </c>
      <c r="U61" s="99"/>
      <c r="V61" s="99"/>
      <c r="W61" s="99"/>
      <c r="X61" s="99"/>
      <c r="Y61" s="99"/>
      <c r="Z61" s="99"/>
      <c r="AA61" s="99"/>
      <c r="AB61" s="99"/>
      <c r="AC61" s="99"/>
    </row>
    <row r="62" spans="1:29" ht="15.75" customHeight="1">
      <c r="A62" s="98">
        <v>46134</v>
      </c>
      <c r="B62" s="99" t="s">
        <v>795</v>
      </c>
      <c r="C62" s="99">
        <v>9912954474</v>
      </c>
      <c r="D62" s="99" t="s">
        <v>796</v>
      </c>
      <c r="E62" s="17" t="s">
        <v>48</v>
      </c>
      <c r="F62" s="99" t="s">
        <v>62</v>
      </c>
      <c r="G62" s="99" t="s">
        <v>33</v>
      </c>
      <c r="H62" s="99" t="s">
        <v>300</v>
      </c>
      <c r="I62" s="39" t="s">
        <v>482</v>
      </c>
      <c r="J62" s="99" t="s">
        <v>300</v>
      </c>
      <c r="K62" s="99" t="s">
        <v>304</v>
      </c>
      <c r="L62" s="99" t="s">
        <v>33</v>
      </c>
      <c r="M62" s="99" t="s">
        <v>33</v>
      </c>
      <c r="N62" s="99" t="s">
        <v>33</v>
      </c>
      <c r="O62" s="49" t="s">
        <v>33</v>
      </c>
      <c r="P62" s="49" t="s">
        <v>33</v>
      </c>
      <c r="Q62" s="99" t="s">
        <v>798</v>
      </c>
      <c r="R62" s="99" t="s">
        <v>799</v>
      </c>
      <c r="S62" s="99" t="s">
        <v>800</v>
      </c>
      <c r="T62" s="50" t="s">
        <v>40</v>
      </c>
      <c r="U62" s="99"/>
      <c r="V62" s="99"/>
      <c r="W62" s="99"/>
      <c r="X62" s="99"/>
      <c r="Y62" s="99"/>
      <c r="Z62" s="99"/>
      <c r="AA62" s="99"/>
      <c r="AB62" s="99"/>
      <c r="AC62" s="99"/>
    </row>
    <row r="63" spans="1:29" ht="15.75" customHeight="1">
      <c r="A63" s="98">
        <v>46136</v>
      </c>
      <c r="B63" s="99" t="s">
        <v>823</v>
      </c>
      <c r="C63" s="99">
        <v>9363913856</v>
      </c>
      <c r="D63" s="99" t="s">
        <v>824</v>
      </c>
      <c r="E63" s="17" t="s">
        <v>48</v>
      </c>
      <c r="F63" s="99" t="s">
        <v>33</v>
      </c>
      <c r="G63" s="99" t="s">
        <v>33</v>
      </c>
      <c r="H63" s="99" t="s">
        <v>33</v>
      </c>
      <c r="I63" s="39" t="s">
        <v>825</v>
      </c>
      <c r="J63" s="99" t="s">
        <v>33</v>
      </c>
      <c r="K63" s="40" t="s">
        <v>826</v>
      </c>
      <c r="L63" s="99" t="s">
        <v>33</v>
      </c>
      <c r="M63" s="99" t="s">
        <v>33</v>
      </c>
      <c r="N63" s="99" t="s">
        <v>33</v>
      </c>
      <c r="O63" s="49" t="s">
        <v>33</v>
      </c>
      <c r="P63" s="49" t="s">
        <v>33</v>
      </c>
      <c r="Q63" s="99" t="s">
        <v>827</v>
      </c>
      <c r="R63" s="99" t="s">
        <v>828</v>
      </c>
      <c r="S63" s="99" t="s">
        <v>829</v>
      </c>
      <c r="T63" s="49" t="s">
        <v>40</v>
      </c>
      <c r="U63" s="99" t="s">
        <v>33</v>
      </c>
      <c r="V63" s="99"/>
      <c r="W63" s="99"/>
      <c r="X63" s="99"/>
      <c r="Y63" s="99"/>
      <c r="Z63" s="99"/>
      <c r="AA63" s="99"/>
      <c r="AB63" s="99"/>
      <c r="AC63" s="99"/>
    </row>
    <row r="64" spans="1:29" ht="15.75" customHeight="1">
      <c r="A64" s="98">
        <v>46136</v>
      </c>
      <c r="B64" s="99" t="s">
        <v>757</v>
      </c>
      <c r="C64" s="99">
        <v>9884752628</v>
      </c>
      <c r="D64" s="99" t="s">
        <v>758</v>
      </c>
      <c r="E64" s="17" t="s">
        <v>25</v>
      </c>
      <c r="F64" s="99" t="s">
        <v>62</v>
      </c>
      <c r="G64" s="99" t="s">
        <v>33</v>
      </c>
      <c r="H64" s="99"/>
      <c r="I64" s="99"/>
      <c r="J64" s="99"/>
      <c r="K64" s="99"/>
      <c r="L64" s="99" t="s">
        <v>33</v>
      </c>
      <c r="M64" s="99" t="s">
        <v>33</v>
      </c>
      <c r="N64" s="99" t="s">
        <v>33</v>
      </c>
      <c r="O64" s="49" t="s">
        <v>33</v>
      </c>
      <c r="P64" s="49" t="s">
        <v>33</v>
      </c>
      <c r="Q64" s="99" t="s">
        <v>830</v>
      </c>
      <c r="R64" s="99" t="s">
        <v>831</v>
      </c>
      <c r="S64" s="58" t="s">
        <v>832</v>
      </c>
      <c r="T64" s="99" t="s">
        <v>33</v>
      </c>
      <c r="U64" s="99"/>
      <c r="V64" s="99"/>
      <c r="W64" s="99"/>
      <c r="X64" s="99"/>
      <c r="Y64" s="99"/>
      <c r="Z64" s="99"/>
      <c r="AA64" s="99" t="s">
        <v>33</v>
      </c>
      <c r="AB64" s="99"/>
      <c r="AC64" s="99"/>
    </row>
    <row r="65" spans="1:29" ht="15.75" customHeight="1">
      <c r="A65" s="98">
        <v>46136</v>
      </c>
      <c r="B65" s="99" t="s">
        <v>833</v>
      </c>
      <c r="C65" s="99">
        <v>7358122388</v>
      </c>
      <c r="D65" s="99" t="s">
        <v>834</v>
      </c>
      <c r="E65" s="17" t="s">
        <v>48</v>
      </c>
      <c r="F65" s="99" t="s">
        <v>33</v>
      </c>
      <c r="G65" s="60" t="s">
        <v>37</v>
      </c>
      <c r="H65" s="99"/>
      <c r="I65" s="99"/>
      <c r="J65" s="99"/>
      <c r="K65" s="99"/>
      <c r="L65" s="99" t="s">
        <v>33</v>
      </c>
      <c r="M65" s="99" t="s">
        <v>37</v>
      </c>
      <c r="N65" s="99" t="s">
        <v>33</v>
      </c>
      <c r="O65" s="49" t="s">
        <v>33</v>
      </c>
      <c r="P65" s="49" t="s">
        <v>33</v>
      </c>
      <c r="Q65" s="99" t="s">
        <v>835</v>
      </c>
      <c r="R65" s="99" t="s">
        <v>836</v>
      </c>
      <c r="S65" s="99" t="s">
        <v>837</v>
      </c>
      <c r="T65" s="99" t="s">
        <v>33</v>
      </c>
      <c r="U65" s="99"/>
      <c r="V65" s="99"/>
      <c r="W65" s="99"/>
      <c r="X65" s="99"/>
      <c r="Y65" s="99"/>
      <c r="Z65" s="99"/>
      <c r="AA65" s="99"/>
      <c r="AB65" s="99"/>
      <c r="AC65" s="99"/>
    </row>
    <row r="66" spans="1:29" ht="15" customHeight="1">
      <c r="A66" s="98">
        <v>46140</v>
      </c>
      <c r="B66" s="99" t="s">
        <v>838</v>
      </c>
      <c r="C66" s="99">
        <v>7200818815</v>
      </c>
      <c r="D66" s="99" t="s">
        <v>839</v>
      </c>
      <c r="E66" s="17" t="s">
        <v>26</v>
      </c>
      <c r="F66" s="99" t="s">
        <v>300</v>
      </c>
      <c r="G66" s="99" t="s">
        <v>33</v>
      </c>
      <c r="H66" s="99"/>
      <c r="I66" s="99"/>
      <c r="J66" s="99"/>
      <c r="K66" s="99"/>
      <c r="L66" s="99" t="s">
        <v>33</v>
      </c>
      <c r="M66" s="99" t="s">
        <v>33</v>
      </c>
      <c r="N66" s="99" t="s">
        <v>33</v>
      </c>
      <c r="O66" s="49" t="s">
        <v>33</v>
      </c>
      <c r="P66" s="49" t="s">
        <v>33</v>
      </c>
      <c r="Q66" s="99" t="s">
        <v>593</v>
      </c>
      <c r="R66" s="99" t="s">
        <v>228</v>
      </c>
      <c r="S66" s="99" t="s">
        <v>840</v>
      </c>
      <c r="T66" s="49" t="s">
        <v>40</v>
      </c>
      <c r="U66" s="99" t="s">
        <v>33</v>
      </c>
      <c r="V66" s="99" t="s">
        <v>33</v>
      </c>
      <c r="W66" s="99"/>
      <c r="X66" s="99"/>
      <c r="Y66" s="99"/>
      <c r="Z66" s="99"/>
      <c r="AA66" s="99"/>
      <c r="AB66" s="99"/>
      <c r="AC66" s="99"/>
    </row>
    <row r="67" spans="1:29" ht="15" customHeight="1">
      <c r="A67" s="98">
        <v>46141</v>
      </c>
      <c r="B67" s="99" t="s">
        <v>841</v>
      </c>
      <c r="C67" s="99">
        <v>9677892508</v>
      </c>
      <c r="D67" s="99" t="s">
        <v>842</v>
      </c>
      <c r="E67" s="17" t="s">
        <v>48</v>
      </c>
      <c r="F67" s="99" t="s">
        <v>33</v>
      </c>
      <c r="G67" s="99" t="s">
        <v>33</v>
      </c>
      <c r="H67" s="99"/>
      <c r="I67" s="99"/>
      <c r="J67" s="99"/>
      <c r="K67" s="99"/>
      <c r="L67" s="99" t="s">
        <v>33</v>
      </c>
      <c r="M67" s="99"/>
      <c r="N67" s="99"/>
      <c r="O67" s="49" t="s">
        <v>33</v>
      </c>
      <c r="P67" s="49" t="s">
        <v>33</v>
      </c>
      <c r="Q67" s="99" t="s">
        <v>843</v>
      </c>
      <c r="R67" s="99" t="s">
        <v>844</v>
      </c>
      <c r="S67" s="99"/>
      <c r="T67" s="99" t="s">
        <v>33</v>
      </c>
      <c r="U67" s="99"/>
      <c r="V67" s="99"/>
      <c r="W67" s="99"/>
      <c r="X67" s="99"/>
      <c r="Y67" s="99"/>
      <c r="Z67" s="99"/>
      <c r="AA67" s="99"/>
      <c r="AB67" s="99"/>
      <c r="AC67" s="99"/>
    </row>
    <row r="68" spans="1:29" ht="15" customHeight="1">
      <c r="A68" s="98">
        <v>46142</v>
      </c>
      <c r="B68" s="99" t="s">
        <v>845</v>
      </c>
      <c r="C68" s="99">
        <v>9655446010</v>
      </c>
      <c r="D68" s="99" t="s">
        <v>846</v>
      </c>
      <c r="E68" s="17" t="s">
        <v>26</v>
      </c>
      <c r="F68" s="99" t="s">
        <v>33</v>
      </c>
      <c r="G68" s="99" t="s">
        <v>33</v>
      </c>
      <c r="H68" s="99"/>
      <c r="I68" s="99"/>
      <c r="J68" s="99"/>
      <c r="K68" s="99"/>
      <c r="L68" s="99" t="s">
        <v>33</v>
      </c>
      <c r="M68" s="99" t="s">
        <v>33</v>
      </c>
      <c r="N68" s="99" t="s">
        <v>33</v>
      </c>
      <c r="O68" s="49" t="s">
        <v>33</v>
      </c>
      <c r="P68" s="49" t="s">
        <v>33</v>
      </c>
      <c r="Q68" s="99" t="s">
        <v>847</v>
      </c>
      <c r="R68" s="99" t="s">
        <v>228</v>
      </c>
      <c r="S68" s="99" t="s">
        <v>848</v>
      </c>
      <c r="T68" s="49" t="s">
        <v>40</v>
      </c>
      <c r="U68" s="99" t="s">
        <v>33</v>
      </c>
      <c r="V68" s="99" t="s">
        <v>33</v>
      </c>
      <c r="W68" s="99" t="s">
        <v>33</v>
      </c>
      <c r="X68" s="99"/>
      <c r="Y68" s="99"/>
      <c r="Z68" s="99"/>
      <c r="AA68" s="99"/>
      <c r="AB68" s="99"/>
      <c r="AC68" s="99"/>
    </row>
    <row r="69" spans="1:29" ht="15.75" customHeight="1">
      <c r="A69" s="98">
        <v>46142</v>
      </c>
      <c r="B69" s="99" t="s">
        <v>849</v>
      </c>
      <c r="C69" s="99">
        <v>9092757728</v>
      </c>
      <c r="D69" s="99" t="s">
        <v>705</v>
      </c>
      <c r="E69" s="17" t="s">
        <v>86</v>
      </c>
      <c r="F69" s="99" t="s">
        <v>62</v>
      </c>
      <c r="G69" s="99" t="s">
        <v>33</v>
      </c>
      <c r="H69" s="99" t="s">
        <v>33</v>
      </c>
      <c r="I69" s="39" t="s">
        <v>706</v>
      </c>
      <c r="J69" s="99" t="s">
        <v>33</v>
      </c>
      <c r="K69" s="99" t="s">
        <v>351</v>
      </c>
      <c r="L69" s="99" t="s">
        <v>33</v>
      </c>
      <c r="M69" s="99" t="s">
        <v>33</v>
      </c>
      <c r="N69" s="99" t="s">
        <v>33</v>
      </c>
      <c r="O69" s="49" t="s">
        <v>33</v>
      </c>
      <c r="P69" s="49" t="s">
        <v>33</v>
      </c>
      <c r="Q69" s="99" t="s">
        <v>708</v>
      </c>
      <c r="R69" s="99" t="s">
        <v>709</v>
      </c>
      <c r="S69" s="99" t="s">
        <v>710</v>
      </c>
      <c r="T69" s="99" t="s">
        <v>33</v>
      </c>
      <c r="U69" s="99"/>
      <c r="V69" s="99"/>
      <c r="W69" s="99"/>
      <c r="X69" s="99"/>
      <c r="Y69" s="99"/>
      <c r="Z69" s="99"/>
      <c r="AA69" s="99"/>
      <c r="AB69" s="99"/>
      <c r="AC69" s="99"/>
    </row>
    <row r="71" spans="1:29" s="66" customFormat="1">
      <c r="B71" s="66" t="s">
        <v>850</v>
      </c>
      <c r="G71" s="66" t="s">
        <v>851</v>
      </c>
      <c r="I71" s="66" t="s">
        <v>270</v>
      </c>
      <c r="K71" s="66" t="s">
        <v>13</v>
      </c>
      <c r="S71" s="66" t="s">
        <v>852</v>
      </c>
      <c r="T71" s="66" t="s">
        <v>272</v>
      </c>
    </row>
    <row r="72" spans="1:29" s="66" customFormat="1">
      <c r="G72" s="66" t="s">
        <v>853</v>
      </c>
      <c r="I72" s="65">
        <f>(20/42)</f>
        <v>0.47619047619047616</v>
      </c>
      <c r="K72" s="65">
        <f>(18/42)</f>
        <v>0.42857142857142855</v>
      </c>
      <c r="S72" s="66">
        <v>41</v>
      </c>
      <c r="T72" s="66">
        <v>23</v>
      </c>
    </row>
  </sheetData>
  <autoFilter ref="A27:AB69" xr:uid="{00000000-0009-0000-0000-000003000000}"/>
  <mergeCells count="1">
    <mergeCell ref="A1:E1"/>
  </mergeCells>
  <hyperlinks>
    <hyperlink ref="D40" r:id="rId1" xr:uid="{00000000-0004-0000-0300-000000000000}"/>
    <hyperlink ref="D42" r:id="rId2" xr:uid="{00000000-0004-0000-0300-000001000000}"/>
    <hyperlink ref="S57" r:id="rId3" xr:uid="{00000000-0004-0000-0300-000002000000}"/>
    <hyperlink ref="D66" r:id="rId4" xr:uid="{00000000-0004-0000-0300-000003000000}"/>
  </hyperlinks>
  <pageMargins left="0.7" right="0.7" top="0.75" bottom="0.75" header="0.3" footer="0.3"/>
  <pageSetup paperSize="9" orientation="portrait"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62"/>
  <sheetViews>
    <sheetView topLeftCell="A26" zoomScale="77" zoomScaleNormal="77" workbookViewId="0">
      <selection activeCell="T62" sqref="T62"/>
    </sheetView>
  </sheetViews>
  <sheetFormatPr defaultColWidth="8.81640625" defaultRowHeight="14.5"/>
  <cols>
    <col min="1" max="1" width="13" style="44" customWidth="1"/>
    <col min="2" max="2" width="8.81640625" style="44" customWidth="1"/>
    <col min="3" max="3" width="13.26953125" style="44" bestFit="1" customWidth="1"/>
    <col min="4" max="6" width="8.81640625" style="44" customWidth="1"/>
    <col min="7" max="7" width="17.81640625" style="44" bestFit="1" customWidth="1"/>
    <col min="8" max="10" width="8.81640625" style="44" customWidth="1"/>
    <col min="11" max="11" width="13.453125" style="44" customWidth="1"/>
    <col min="12" max="17" width="8.81640625" style="44" customWidth="1"/>
    <col min="18" max="18" width="12.81640625" style="44" customWidth="1"/>
    <col min="19" max="21" width="8.81640625" style="44" customWidth="1"/>
    <col min="22" max="16384" width="8.81640625" style="44"/>
  </cols>
  <sheetData>
    <row r="1" spans="1:5">
      <c r="A1" s="107" t="s">
        <v>854</v>
      </c>
      <c r="B1" s="105"/>
      <c r="C1" s="105"/>
      <c r="D1" s="105"/>
      <c r="E1" s="106"/>
    </row>
    <row r="2" spans="1:5">
      <c r="A2" s="103" t="s">
        <v>1</v>
      </c>
      <c r="B2" s="103">
        <v>2093</v>
      </c>
      <c r="C2" s="45">
        <v>2337</v>
      </c>
      <c r="D2" s="103">
        <v>2394</v>
      </c>
      <c r="E2" s="103" t="s">
        <v>2</v>
      </c>
    </row>
    <row r="3" spans="1:5">
      <c r="A3" s="98">
        <v>46146</v>
      </c>
      <c r="B3" s="99">
        <v>1</v>
      </c>
      <c r="C3" s="99"/>
      <c r="D3" s="99">
        <v>1</v>
      </c>
      <c r="E3" s="99">
        <f t="shared" ref="E3:E21" si="0">B3+C3+D3</f>
        <v>2</v>
      </c>
    </row>
    <row r="4" spans="1:5">
      <c r="A4" s="98">
        <v>46147</v>
      </c>
      <c r="B4" s="99">
        <v>1</v>
      </c>
      <c r="C4" s="99">
        <v>1</v>
      </c>
      <c r="D4" s="99"/>
      <c r="E4" s="99">
        <f t="shared" si="0"/>
        <v>2</v>
      </c>
    </row>
    <row r="5" spans="1:5">
      <c r="A5" s="98">
        <v>46148</v>
      </c>
      <c r="B5" s="99"/>
      <c r="C5" s="99">
        <v>1</v>
      </c>
      <c r="D5" s="99"/>
      <c r="E5" s="99">
        <f t="shared" si="0"/>
        <v>1</v>
      </c>
    </row>
    <row r="6" spans="1:5">
      <c r="A6" s="98">
        <v>46149</v>
      </c>
      <c r="B6" s="99"/>
      <c r="C6" s="99">
        <v>1</v>
      </c>
      <c r="D6" s="99">
        <v>1</v>
      </c>
      <c r="E6" s="99">
        <f t="shared" si="0"/>
        <v>2</v>
      </c>
    </row>
    <row r="7" spans="1:5">
      <c r="A7" s="98">
        <v>46150</v>
      </c>
      <c r="B7" s="99"/>
      <c r="C7" s="99">
        <v>1</v>
      </c>
      <c r="D7" s="99"/>
      <c r="E7" s="99">
        <f t="shared" si="0"/>
        <v>1</v>
      </c>
    </row>
    <row r="8" spans="1:5">
      <c r="A8" s="98">
        <v>46153</v>
      </c>
      <c r="B8" s="99"/>
      <c r="C8" s="99">
        <v>1</v>
      </c>
      <c r="D8" s="99"/>
      <c r="E8" s="99">
        <f t="shared" si="0"/>
        <v>1</v>
      </c>
    </row>
    <row r="9" spans="1:5">
      <c r="A9" s="98">
        <v>46154</v>
      </c>
      <c r="B9" s="99"/>
      <c r="C9" s="99"/>
      <c r="D9" s="99"/>
      <c r="E9" s="99">
        <f t="shared" si="0"/>
        <v>0</v>
      </c>
    </row>
    <row r="10" spans="1:5">
      <c r="A10" s="98">
        <v>46155</v>
      </c>
      <c r="B10" s="99">
        <v>2</v>
      </c>
      <c r="C10" s="99"/>
      <c r="D10" s="99"/>
      <c r="E10" s="99">
        <f t="shared" si="0"/>
        <v>2</v>
      </c>
    </row>
    <row r="11" spans="1:5">
      <c r="A11" s="98">
        <v>46156</v>
      </c>
      <c r="B11" s="99">
        <v>2</v>
      </c>
      <c r="C11" s="99"/>
      <c r="D11" s="99"/>
      <c r="E11" s="99">
        <f t="shared" si="0"/>
        <v>2</v>
      </c>
    </row>
    <row r="12" spans="1:5">
      <c r="A12" s="98">
        <v>46157</v>
      </c>
      <c r="B12" s="99">
        <v>1</v>
      </c>
      <c r="C12" s="99"/>
      <c r="D12" s="99">
        <v>1</v>
      </c>
      <c r="E12" s="99">
        <f t="shared" si="0"/>
        <v>2</v>
      </c>
    </row>
    <row r="13" spans="1:5">
      <c r="A13" s="98">
        <v>46160</v>
      </c>
      <c r="B13" s="99"/>
      <c r="C13" s="99"/>
      <c r="D13" s="99"/>
      <c r="E13" s="99">
        <f t="shared" si="0"/>
        <v>0</v>
      </c>
    </row>
    <row r="14" spans="1:5">
      <c r="A14" s="98">
        <v>46161</v>
      </c>
      <c r="B14" s="99">
        <v>1</v>
      </c>
      <c r="C14" s="99"/>
      <c r="D14" s="99">
        <v>1</v>
      </c>
      <c r="E14" s="99">
        <f t="shared" si="0"/>
        <v>2</v>
      </c>
    </row>
    <row r="15" spans="1:5">
      <c r="A15" s="98">
        <v>46162</v>
      </c>
      <c r="B15" s="99"/>
      <c r="C15" s="99"/>
      <c r="D15" s="99"/>
      <c r="E15" s="99">
        <f t="shared" si="0"/>
        <v>0</v>
      </c>
    </row>
    <row r="16" spans="1:5">
      <c r="A16" s="98">
        <v>46163</v>
      </c>
      <c r="B16" s="99">
        <v>1</v>
      </c>
      <c r="C16" s="99"/>
      <c r="D16" s="99"/>
      <c r="E16" s="99">
        <f t="shared" si="0"/>
        <v>1</v>
      </c>
    </row>
    <row r="17" spans="1:26">
      <c r="A17" s="98">
        <v>46164</v>
      </c>
      <c r="B17" s="99"/>
      <c r="C17" s="99">
        <v>1</v>
      </c>
      <c r="D17" s="99">
        <v>1</v>
      </c>
      <c r="E17" s="99">
        <f t="shared" si="0"/>
        <v>2</v>
      </c>
    </row>
    <row r="18" spans="1:26">
      <c r="A18" s="98">
        <v>46167</v>
      </c>
      <c r="B18" s="99">
        <v>2</v>
      </c>
      <c r="C18" s="99">
        <v>1</v>
      </c>
      <c r="D18" s="99">
        <v>1</v>
      </c>
      <c r="E18" s="99">
        <f t="shared" si="0"/>
        <v>4</v>
      </c>
    </row>
    <row r="19" spans="1:26">
      <c r="A19" s="98">
        <v>46168</v>
      </c>
      <c r="B19" s="99">
        <v>1</v>
      </c>
      <c r="C19" s="99"/>
      <c r="D19" s="99">
        <v>1</v>
      </c>
      <c r="E19" s="99">
        <f t="shared" si="0"/>
        <v>2</v>
      </c>
    </row>
    <row r="20" spans="1:26">
      <c r="A20" s="98">
        <v>46169</v>
      </c>
      <c r="B20" s="99">
        <v>1</v>
      </c>
      <c r="C20" s="99"/>
      <c r="D20" s="99"/>
      <c r="E20" s="99">
        <f t="shared" si="0"/>
        <v>1</v>
      </c>
      <c r="N20" s="99" t="s">
        <v>855</v>
      </c>
    </row>
    <row r="21" spans="1:26">
      <c r="A21" s="98">
        <v>46171</v>
      </c>
      <c r="B21" s="99">
        <v>2</v>
      </c>
      <c r="C21" s="99">
        <v>2</v>
      </c>
      <c r="D21" s="99"/>
      <c r="E21" s="99">
        <f t="shared" si="0"/>
        <v>4</v>
      </c>
    </row>
    <row r="22" spans="1:26">
      <c r="A22" s="98" t="s">
        <v>430</v>
      </c>
      <c r="B22" s="99">
        <f>SUM(B3:B21)</f>
        <v>15</v>
      </c>
      <c r="C22" s="99">
        <f>SUM(C3:C21)</f>
        <v>9</v>
      </c>
      <c r="D22" s="99">
        <f>SUM(D3:D21)</f>
        <v>7</v>
      </c>
      <c r="E22" s="99"/>
    </row>
    <row r="23" spans="1:26">
      <c r="D23" s="99" t="s">
        <v>430</v>
      </c>
      <c r="E23" s="99">
        <f>SUM(E3:E21)</f>
        <v>31</v>
      </c>
    </row>
    <row r="28" spans="1:26" ht="167.25" customHeight="1">
      <c r="A28" s="103" t="s">
        <v>1</v>
      </c>
      <c r="B28" s="103" t="s">
        <v>5</v>
      </c>
      <c r="C28" s="45" t="s">
        <v>6</v>
      </c>
      <c r="D28" s="103" t="s">
        <v>7</v>
      </c>
      <c r="E28" s="103" t="s">
        <v>8</v>
      </c>
      <c r="F28" s="46" t="s">
        <v>275</v>
      </c>
      <c r="G28" s="46" t="s">
        <v>10</v>
      </c>
      <c r="H28" s="47" t="s">
        <v>11</v>
      </c>
      <c r="I28" s="103" t="s">
        <v>12</v>
      </c>
      <c r="J28" s="46" t="s">
        <v>13</v>
      </c>
      <c r="K28" s="103" t="s">
        <v>12</v>
      </c>
      <c r="L28" s="46" t="s">
        <v>15</v>
      </c>
      <c r="M28" s="46" t="s">
        <v>16</v>
      </c>
      <c r="N28" s="46" t="s">
        <v>17</v>
      </c>
      <c r="O28" s="46" t="s">
        <v>18</v>
      </c>
      <c r="P28" s="103" t="s">
        <v>19</v>
      </c>
      <c r="Q28" s="103" t="s">
        <v>20</v>
      </c>
      <c r="R28" s="103" t="s">
        <v>21</v>
      </c>
      <c r="S28" s="46" t="s">
        <v>22</v>
      </c>
      <c r="T28" s="46" t="s">
        <v>23</v>
      </c>
      <c r="U28" s="46" t="s">
        <v>24</v>
      </c>
      <c r="V28" s="46" t="s">
        <v>25</v>
      </c>
      <c r="W28" s="46" t="s">
        <v>26</v>
      </c>
      <c r="X28" s="46" t="s">
        <v>27</v>
      </c>
      <c r="Y28" s="46" t="s">
        <v>28</v>
      </c>
      <c r="Z28" s="46" t="s">
        <v>29</v>
      </c>
    </row>
    <row r="29" spans="1:26">
      <c r="A29" s="98">
        <v>46146</v>
      </c>
      <c r="B29" s="99" t="s">
        <v>856</v>
      </c>
      <c r="C29" s="99">
        <v>9940496282</v>
      </c>
      <c r="D29" s="99" t="s">
        <v>812</v>
      </c>
      <c r="E29" s="48" t="s">
        <v>26</v>
      </c>
      <c r="F29" s="99" t="s">
        <v>62</v>
      </c>
      <c r="G29" s="99" t="s">
        <v>33</v>
      </c>
      <c r="H29" s="99" t="s">
        <v>33</v>
      </c>
      <c r="I29" s="99" t="s">
        <v>813</v>
      </c>
      <c r="J29" s="99"/>
      <c r="K29" s="99"/>
      <c r="L29" s="99" t="s">
        <v>33</v>
      </c>
      <c r="M29" s="99" t="s">
        <v>33</v>
      </c>
      <c r="N29" s="49" t="s">
        <v>33</v>
      </c>
      <c r="O29" s="49" t="s">
        <v>33</v>
      </c>
      <c r="P29" s="99" t="s">
        <v>857</v>
      </c>
      <c r="Q29" s="99" t="s">
        <v>858</v>
      </c>
      <c r="R29" s="99" t="s">
        <v>815</v>
      </c>
      <c r="S29" s="99" t="s">
        <v>33</v>
      </c>
      <c r="T29" s="99"/>
      <c r="U29" s="99"/>
      <c r="V29" s="99"/>
      <c r="W29" s="99"/>
      <c r="X29" s="99"/>
      <c r="Y29" s="99"/>
      <c r="Z29" s="99"/>
    </row>
    <row r="30" spans="1:26">
      <c r="A30" s="98">
        <v>46146</v>
      </c>
      <c r="B30" s="99" t="s">
        <v>764</v>
      </c>
      <c r="C30" s="99">
        <v>8523830666</v>
      </c>
      <c r="D30" s="99" t="s">
        <v>765</v>
      </c>
      <c r="E30" s="48" t="s">
        <v>86</v>
      </c>
      <c r="F30" s="99" t="s">
        <v>62</v>
      </c>
      <c r="G30" s="99" t="s">
        <v>33</v>
      </c>
      <c r="H30" s="99" t="s">
        <v>33</v>
      </c>
      <c r="I30" s="99" t="s">
        <v>766</v>
      </c>
      <c r="J30" s="99" t="s">
        <v>33</v>
      </c>
      <c r="K30" s="99" t="s">
        <v>304</v>
      </c>
      <c r="L30" s="99" t="s">
        <v>33</v>
      </c>
      <c r="M30" s="99" t="s">
        <v>33</v>
      </c>
      <c r="N30" s="49" t="s">
        <v>33</v>
      </c>
      <c r="O30" s="49" t="s">
        <v>33</v>
      </c>
      <c r="P30" s="99" t="s">
        <v>92</v>
      </c>
      <c r="Q30" s="99" t="s">
        <v>768</v>
      </c>
      <c r="R30" s="99" t="s">
        <v>769</v>
      </c>
      <c r="S30" s="99" t="s">
        <v>33</v>
      </c>
      <c r="T30" s="99"/>
      <c r="U30" s="99"/>
      <c r="V30" s="99"/>
      <c r="W30" s="99"/>
      <c r="X30" s="99"/>
      <c r="Y30" s="99"/>
      <c r="Z30" s="99"/>
    </row>
    <row r="31" spans="1:26">
      <c r="A31" s="98">
        <v>46147</v>
      </c>
      <c r="B31" s="99" t="s">
        <v>859</v>
      </c>
      <c r="C31" s="93">
        <v>9940330699</v>
      </c>
      <c r="D31" s="99" t="s">
        <v>860</v>
      </c>
      <c r="E31" s="48" t="s">
        <v>26</v>
      </c>
      <c r="F31" s="99" t="s">
        <v>33</v>
      </c>
      <c r="G31" s="99" t="s">
        <v>33</v>
      </c>
      <c r="H31" s="99" t="s">
        <v>33</v>
      </c>
      <c r="I31" s="99" t="s">
        <v>482</v>
      </c>
      <c r="J31" s="99" t="s">
        <v>33</v>
      </c>
      <c r="K31" s="99" t="s">
        <v>304</v>
      </c>
      <c r="L31" s="99" t="s">
        <v>33</v>
      </c>
      <c r="M31" s="99" t="s">
        <v>33</v>
      </c>
      <c r="N31" s="49" t="s">
        <v>33</v>
      </c>
      <c r="O31" s="49" t="s">
        <v>33</v>
      </c>
      <c r="P31" s="99" t="s">
        <v>367</v>
      </c>
      <c r="Q31" s="99" t="s">
        <v>861</v>
      </c>
      <c r="R31" s="99" t="s">
        <v>862</v>
      </c>
      <c r="S31" s="49" t="s">
        <v>40</v>
      </c>
      <c r="T31" s="99"/>
      <c r="U31" s="99"/>
      <c r="V31" s="99"/>
      <c r="W31" s="99"/>
      <c r="X31" s="99"/>
      <c r="Y31" s="99"/>
      <c r="Z31" s="99" t="s">
        <v>33</v>
      </c>
    </row>
    <row r="32" spans="1:26">
      <c r="A32" s="98">
        <v>46147</v>
      </c>
      <c r="B32" s="99" t="s">
        <v>863</v>
      </c>
      <c r="C32" s="93">
        <v>9551240616</v>
      </c>
      <c r="D32" s="99" t="s">
        <v>864</v>
      </c>
      <c r="E32" s="48" t="s">
        <v>319</v>
      </c>
      <c r="F32" s="99" t="s">
        <v>33</v>
      </c>
      <c r="G32" s="99" t="s">
        <v>33</v>
      </c>
      <c r="H32" s="99" t="s">
        <v>33</v>
      </c>
      <c r="I32" s="99" t="s">
        <v>865</v>
      </c>
      <c r="J32" s="99" t="s">
        <v>33</v>
      </c>
      <c r="K32" s="99" t="s">
        <v>304</v>
      </c>
      <c r="L32" s="99" t="s">
        <v>33</v>
      </c>
      <c r="M32" s="99" t="s">
        <v>33</v>
      </c>
      <c r="N32" s="49" t="s">
        <v>33</v>
      </c>
      <c r="O32" s="49" t="s">
        <v>33</v>
      </c>
      <c r="P32" s="99" t="s">
        <v>211</v>
      </c>
      <c r="Q32" s="99" t="s">
        <v>866</v>
      </c>
      <c r="R32" s="99" t="s">
        <v>867</v>
      </c>
      <c r="S32" s="49" t="s">
        <v>40</v>
      </c>
      <c r="T32" s="99" t="s">
        <v>33</v>
      </c>
      <c r="U32" s="99" t="s">
        <v>33</v>
      </c>
      <c r="V32" s="99"/>
      <c r="W32" s="99"/>
      <c r="X32" s="99"/>
      <c r="Y32" s="99"/>
      <c r="Z32" s="99"/>
    </row>
    <row r="33" spans="1:26">
      <c r="A33" s="98">
        <v>46148</v>
      </c>
      <c r="B33" s="99" t="s">
        <v>868</v>
      </c>
      <c r="C33" s="93">
        <v>8098393890</v>
      </c>
      <c r="D33" s="99" t="s">
        <v>869</v>
      </c>
      <c r="E33" s="48" t="s">
        <v>48</v>
      </c>
      <c r="F33" s="99" t="s">
        <v>33</v>
      </c>
      <c r="G33" s="99" t="s">
        <v>33</v>
      </c>
      <c r="H33" s="99"/>
      <c r="I33" s="99"/>
      <c r="J33" s="99"/>
      <c r="K33" s="99"/>
      <c r="L33" s="99" t="s">
        <v>33</v>
      </c>
      <c r="M33" s="99" t="s">
        <v>33</v>
      </c>
      <c r="N33" s="49" t="s">
        <v>33</v>
      </c>
      <c r="O33" s="49" t="s">
        <v>33</v>
      </c>
      <c r="P33" s="99" t="s">
        <v>870</v>
      </c>
      <c r="Q33" s="99" t="s">
        <v>871</v>
      </c>
      <c r="R33" s="99" t="s">
        <v>872</v>
      </c>
      <c r="S33" s="49" t="s">
        <v>40</v>
      </c>
      <c r="T33" s="99" t="s">
        <v>33</v>
      </c>
      <c r="U33" s="99"/>
      <c r="V33" s="99"/>
      <c r="W33" s="99"/>
      <c r="X33" s="99"/>
      <c r="Y33" s="99"/>
      <c r="Z33" s="99"/>
    </row>
    <row r="34" spans="1:26">
      <c r="A34" s="98">
        <v>46149</v>
      </c>
      <c r="B34" s="99" t="s">
        <v>873</v>
      </c>
      <c r="C34" s="93">
        <v>9841380433</v>
      </c>
      <c r="D34" s="99" t="s">
        <v>874</v>
      </c>
      <c r="E34" s="48" t="s">
        <v>48</v>
      </c>
      <c r="F34" s="99" t="s">
        <v>33</v>
      </c>
      <c r="G34" s="99" t="s">
        <v>33</v>
      </c>
      <c r="H34" s="99"/>
      <c r="I34" s="99"/>
      <c r="J34" s="99"/>
      <c r="K34" s="99"/>
      <c r="L34" s="99" t="s">
        <v>33</v>
      </c>
      <c r="M34" s="99" t="s">
        <v>33</v>
      </c>
      <c r="N34" s="49" t="s">
        <v>33</v>
      </c>
      <c r="O34" s="49" t="s">
        <v>33</v>
      </c>
      <c r="P34" s="99" t="s">
        <v>875</v>
      </c>
      <c r="Q34" s="99" t="s">
        <v>844</v>
      </c>
      <c r="R34" s="99"/>
      <c r="S34" s="99"/>
      <c r="T34" s="99"/>
      <c r="U34" s="99"/>
      <c r="V34" s="99"/>
      <c r="W34" s="99"/>
      <c r="X34" s="99"/>
      <c r="Y34" s="99"/>
      <c r="Z34" s="99"/>
    </row>
    <row r="35" spans="1:26">
      <c r="A35" s="98">
        <v>46149</v>
      </c>
      <c r="B35" s="99" t="s">
        <v>876</v>
      </c>
      <c r="C35" s="93">
        <v>7358343781</v>
      </c>
      <c r="D35" s="99" t="s">
        <v>877</v>
      </c>
      <c r="E35" s="48" t="s">
        <v>48</v>
      </c>
      <c r="F35" s="99" t="s">
        <v>33</v>
      </c>
      <c r="G35" s="99" t="s">
        <v>33</v>
      </c>
      <c r="H35" s="99" t="s">
        <v>33</v>
      </c>
      <c r="I35" s="99" t="s">
        <v>878</v>
      </c>
      <c r="J35" s="99" t="s">
        <v>33</v>
      </c>
      <c r="K35" s="40" t="s">
        <v>879</v>
      </c>
      <c r="L35" s="99" t="s">
        <v>33</v>
      </c>
      <c r="M35" s="99" t="s">
        <v>33</v>
      </c>
      <c r="N35" s="49" t="s">
        <v>33</v>
      </c>
      <c r="O35" s="49" t="s">
        <v>33</v>
      </c>
      <c r="P35" s="99" t="s">
        <v>880</v>
      </c>
      <c r="Q35" s="99" t="s">
        <v>881</v>
      </c>
      <c r="R35" s="99" t="s">
        <v>882</v>
      </c>
      <c r="S35" s="50" t="s">
        <v>40</v>
      </c>
      <c r="T35" s="99" t="s">
        <v>33</v>
      </c>
      <c r="U35" s="99"/>
      <c r="V35" s="99"/>
      <c r="W35" s="99"/>
      <c r="X35" s="99"/>
      <c r="Y35" s="99"/>
      <c r="Z35" s="99"/>
    </row>
    <row r="36" spans="1:26">
      <c r="A36" s="98">
        <v>46150</v>
      </c>
      <c r="B36" s="99" t="s">
        <v>841</v>
      </c>
      <c r="C36" s="93">
        <v>9677892508</v>
      </c>
      <c r="D36" s="99" t="s">
        <v>842</v>
      </c>
      <c r="E36" s="48" t="s">
        <v>48</v>
      </c>
      <c r="F36" s="99" t="s">
        <v>33</v>
      </c>
      <c r="G36" s="99" t="s">
        <v>33</v>
      </c>
      <c r="H36" s="99"/>
      <c r="I36" s="99"/>
      <c r="J36" s="99"/>
      <c r="K36" s="99"/>
      <c r="L36" s="99" t="s">
        <v>33</v>
      </c>
      <c r="M36" s="99" t="s">
        <v>33</v>
      </c>
      <c r="N36" s="49" t="s">
        <v>33</v>
      </c>
      <c r="O36" s="49" t="s">
        <v>33</v>
      </c>
      <c r="P36" s="99" t="s">
        <v>843</v>
      </c>
      <c r="Q36" s="99" t="s">
        <v>844</v>
      </c>
      <c r="R36" s="99" t="s">
        <v>883</v>
      </c>
      <c r="S36" s="50" t="s">
        <v>40</v>
      </c>
      <c r="T36" s="99"/>
      <c r="U36" s="99"/>
      <c r="V36" s="99"/>
      <c r="W36" s="99"/>
      <c r="X36" s="99"/>
      <c r="Y36" s="99"/>
      <c r="Z36" s="99"/>
    </row>
    <row r="37" spans="1:26">
      <c r="A37" s="98">
        <v>46153</v>
      </c>
      <c r="B37" s="99" t="s">
        <v>863</v>
      </c>
      <c r="C37" s="99">
        <v>9551240616</v>
      </c>
      <c r="D37" s="99" t="s">
        <v>864</v>
      </c>
      <c r="E37" s="48" t="s">
        <v>319</v>
      </c>
      <c r="F37" s="99" t="s">
        <v>62</v>
      </c>
      <c r="G37" s="99" t="s">
        <v>33</v>
      </c>
      <c r="H37" s="99" t="s">
        <v>33</v>
      </c>
      <c r="I37" s="99" t="s">
        <v>865</v>
      </c>
      <c r="J37" s="99" t="s">
        <v>33</v>
      </c>
      <c r="K37" s="99" t="s">
        <v>304</v>
      </c>
      <c r="L37" s="99" t="s">
        <v>33</v>
      </c>
      <c r="M37" s="99" t="s">
        <v>33</v>
      </c>
      <c r="N37" s="49" t="s">
        <v>33</v>
      </c>
      <c r="O37" s="49" t="s">
        <v>33</v>
      </c>
      <c r="P37" s="99" t="s">
        <v>211</v>
      </c>
      <c r="Q37" s="99" t="s">
        <v>866</v>
      </c>
      <c r="R37" s="99" t="s">
        <v>867</v>
      </c>
      <c r="S37" s="49" t="s">
        <v>40</v>
      </c>
      <c r="T37" s="99" t="s">
        <v>33</v>
      </c>
      <c r="U37" s="99" t="s">
        <v>33</v>
      </c>
      <c r="V37" s="99"/>
      <c r="W37" s="99"/>
      <c r="X37" s="99"/>
      <c r="Y37" s="99"/>
      <c r="Z37" s="99"/>
    </row>
    <row r="38" spans="1:26">
      <c r="A38" s="98">
        <v>46155</v>
      </c>
      <c r="B38" s="99" t="s">
        <v>884</v>
      </c>
      <c r="C38" s="99">
        <v>9884668490</v>
      </c>
      <c r="D38" s="99" t="s">
        <v>282</v>
      </c>
      <c r="E38" s="48" t="s">
        <v>55</v>
      </c>
      <c r="F38" s="99" t="s">
        <v>33</v>
      </c>
      <c r="G38" s="99" t="s">
        <v>33</v>
      </c>
      <c r="H38" s="99"/>
      <c r="I38" s="99"/>
      <c r="J38" s="99"/>
      <c r="K38" s="99"/>
      <c r="L38" s="99" t="s">
        <v>33</v>
      </c>
      <c r="M38" s="99" t="s">
        <v>33</v>
      </c>
      <c r="N38" s="49" t="s">
        <v>33</v>
      </c>
      <c r="O38" s="49" t="s">
        <v>33</v>
      </c>
      <c r="P38" s="99" t="s">
        <v>885</v>
      </c>
      <c r="Q38" s="99" t="s">
        <v>886</v>
      </c>
      <c r="R38" s="99" t="s">
        <v>283</v>
      </c>
      <c r="S38" s="99" t="s">
        <v>33</v>
      </c>
      <c r="T38" s="99"/>
      <c r="U38" s="99"/>
      <c r="V38" s="99"/>
      <c r="W38" s="99"/>
      <c r="X38" s="99"/>
      <c r="Y38" s="99"/>
      <c r="Z38" s="99"/>
    </row>
    <row r="39" spans="1:26">
      <c r="A39" s="98">
        <v>46155</v>
      </c>
      <c r="B39" s="99" t="s">
        <v>887</v>
      </c>
      <c r="C39" s="99">
        <v>8675853764</v>
      </c>
      <c r="D39" s="99" t="s">
        <v>888</v>
      </c>
      <c r="E39" s="48" t="s">
        <v>48</v>
      </c>
      <c r="F39" s="99" t="s">
        <v>33</v>
      </c>
      <c r="G39" s="99" t="s">
        <v>33</v>
      </c>
      <c r="H39" s="99" t="s">
        <v>33</v>
      </c>
      <c r="I39" s="99" t="s">
        <v>67</v>
      </c>
      <c r="J39" s="99"/>
      <c r="K39" s="99"/>
      <c r="L39" s="99" t="s">
        <v>33</v>
      </c>
      <c r="M39" s="99" t="s">
        <v>33</v>
      </c>
      <c r="N39" s="49" t="s">
        <v>33</v>
      </c>
      <c r="O39" s="49" t="s">
        <v>33</v>
      </c>
      <c r="P39" s="99" t="s">
        <v>92</v>
      </c>
      <c r="Q39" s="99" t="s">
        <v>889</v>
      </c>
      <c r="R39" s="99" t="s">
        <v>890</v>
      </c>
      <c r="S39" s="50" t="s">
        <v>40</v>
      </c>
      <c r="T39" s="99" t="s">
        <v>33</v>
      </c>
      <c r="U39" s="99"/>
      <c r="V39" s="99"/>
      <c r="W39" s="99"/>
      <c r="X39" s="99"/>
      <c r="Y39" s="99"/>
      <c r="Z39" s="99"/>
    </row>
    <row r="40" spans="1:26">
      <c r="A40" s="98">
        <v>46156</v>
      </c>
      <c r="B40" s="99" t="s">
        <v>891</v>
      </c>
      <c r="C40" s="99">
        <v>9840660825</v>
      </c>
      <c r="D40" s="99" t="s">
        <v>892</v>
      </c>
      <c r="E40" s="48" t="s">
        <v>86</v>
      </c>
      <c r="F40" s="99" t="s">
        <v>33</v>
      </c>
      <c r="G40" s="99" t="s">
        <v>33</v>
      </c>
      <c r="H40" s="99" t="s">
        <v>33</v>
      </c>
      <c r="I40" s="99" t="s">
        <v>366</v>
      </c>
      <c r="J40" s="99" t="s">
        <v>33</v>
      </c>
      <c r="K40" s="99" t="s">
        <v>304</v>
      </c>
      <c r="L40" s="99" t="s">
        <v>33</v>
      </c>
      <c r="M40" s="99" t="s">
        <v>33</v>
      </c>
      <c r="N40" s="49" t="s">
        <v>33</v>
      </c>
      <c r="O40" s="49" t="s">
        <v>33</v>
      </c>
      <c r="P40" s="99" t="s">
        <v>893</v>
      </c>
      <c r="Q40" s="99" t="s">
        <v>894</v>
      </c>
      <c r="R40" s="99" t="s">
        <v>895</v>
      </c>
      <c r="S40" s="99" t="s">
        <v>33</v>
      </c>
      <c r="T40" s="99"/>
      <c r="U40" s="99"/>
      <c r="V40" s="99"/>
      <c r="W40" s="99"/>
      <c r="X40" s="99"/>
      <c r="Y40" s="99"/>
      <c r="Z40" s="99"/>
    </row>
    <row r="41" spans="1:26">
      <c r="A41" s="98">
        <v>46156</v>
      </c>
      <c r="B41" s="99" t="s">
        <v>896</v>
      </c>
      <c r="C41" s="99">
        <v>886660970</v>
      </c>
      <c r="D41" s="99" t="s">
        <v>897</v>
      </c>
      <c r="E41" s="48" t="s">
        <v>48</v>
      </c>
      <c r="F41" s="99" t="s">
        <v>33</v>
      </c>
      <c r="G41" s="60" t="s">
        <v>37</v>
      </c>
      <c r="H41" s="99" t="s">
        <v>33</v>
      </c>
      <c r="I41" s="99" t="s">
        <v>898</v>
      </c>
      <c r="J41" s="99"/>
      <c r="K41" s="99"/>
      <c r="L41" s="99" t="s">
        <v>37</v>
      </c>
      <c r="M41" s="99" t="s">
        <v>33</v>
      </c>
      <c r="N41" s="49" t="s">
        <v>33</v>
      </c>
      <c r="O41" s="49" t="s">
        <v>33</v>
      </c>
      <c r="P41" s="99" t="s">
        <v>899</v>
      </c>
      <c r="Q41" s="99" t="s">
        <v>900</v>
      </c>
      <c r="R41" s="99" t="s">
        <v>901</v>
      </c>
      <c r="S41" s="50" t="s">
        <v>40</v>
      </c>
      <c r="T41" s="99" t="s">
        <v>33</v>
      </c>
      <c r="U41" s="99"/>
      <c r="V41" s="99"/>
      <c r="W41" s="99"/>
      <c r="X41" s="99"/>
      <c r="Y41" s="99"/>
      <c r="Z41" s="99"/>
    </row>
    <row r="42" spans="1:26">
      <c r="A42" s="98">
        <v>46157</v>
      </c>
      <c r="B42" s="99" t="s">
        <v>902</v>
      </c>
      <c r="C42" s="99">
        <v>9600184523</v>
      </c>
      <c r="D42" s="99" t="s">
        <v>903</v>
      </c>
      <c r="E42" s="48" t="s">
        <v>48</v>
      </c>
      <c r="F42" s="99" t="s">
        <v>97</v>
      </c>
      <c r="G42" s="99" t="s">
        <v>33</v>
      </c>
      <c r="H42" s="99"/>
      <c r="I42" s="99"/>
      <c r="J42" s="99"/>
      <c r="K42" s="99"/>
      <c r="L42" s="99" t="s">
        <v>33</v>
      </c>
      <c r="M42" s="99" t="s">
        <v>33</v>
      </c>
      <c r="N42" s="49" t="s">
        <v>33</v>
      </c>
      <c r="O42" s="49" t="s">
        <v>33</v>
      </c>
      <c r="P42" s="99" t="s">
        <v>904</v>
      </c>
      <c r="Q42" s="99" t="s">
        <v>905</v>
      </c>
      <c r="R42" s="99" t="s">
        <v>906</v>
      </c>
      <c r="S42" s="50" t="s">
        <v>40</v>
      </c>
      <c r="T42" s="99"/>
      <c r="U42" s="99"/>
      <c r="V42" s="99"/>
      <c r="W42" s="99"/>
      <c r="X42" s="99"/>
      <c r="Y42" s="99"/>
      <c r="Z42" s="99"/>
    </row>
    <row r="43" spans="1:26">
      <c r="A43" s="98">
        <v>46157</v>
      </c>
      <c r="B43" s="99" t="s">
        <v>907</v>
      </c>
      <c r="C43" s="99">
        <v>9910013669</v>
      </c>
      <c r="D43" s="99" t="s">
        <v>908</v>
      </c>
      <c r="E43" s="48" t="s">
        <v>86</v>
      </c>
      <c r="F43" s="99" t="s">
        <v>300</v>
      </c>
      <c r="G43" s="99" t="s">
        <v>33</v>
      </c>
      <c r="H43" s="99" t="s">
        <v>33</v>
      </c>
      <c r="I43" s="99" t="s">
        <v>909</v>
      </c>
      <c r="J43" s="99"/>
      <c r="K43" s="99"/>
      <c r="L43" s="99" t="s">
        <v>33</v>
      </c>
      <c r="M43" s="99" t="s">
        <v>33</v>
      </c>
      <c r="N43" s="49" t="s">
        <v>33</v>
      </c>
      <c r="O43" s="49" t="s">
        <v>33</v>
      </c>
      <c r="P43" s="99" t="s">
        <v>910</v>
      </c>
      <c r="Q43" s="99" t="s">
        <v>594</v>
      </c>
      <c r="R43" s="99" t="s">
        <v>911</v>
      </c>
      <c r="S43" s="49" t="s">
        <v>40</v>
      </c>
      <c r="T43" s="99" t="s">
        <v>33</v>
      </c>
      <c r="U43" s="99"/>
      <c r="V43" s="99"/>
      <c r="W43" s="99"/>
      <c r="X43" s="99"/>
      <c r="Y43" s="99"/>
      <c r="Z43" s="99"/>
    </row>
    <row r="44" spans="1:26">
      <c r="A44" s="98">
        <v>46161</v>
      </c>
      <c r="B44" s="99" t="s">
        <v>912</v>
      </c>
      <c r="C44" s="99">
        <v>8940529440</v>
      </c>
      <c r="D44" s="99" t="s">
        <v>913</v>
      </c>
      <c r="E44" s="48" t="s">
        <v>25</v>
      </c>
      <c r="F44" s="99" t="s">
        <v>33</v>
      </c>
      <c r="G44" s="99" t="s">
        <v>33</v>
      </c>
      <c r="H44" s="99" t="s">
        <v>33</v>
      </c>
      <c r="I44" s="99" t="s">
        <v>914</v>
      </c>
      <c r="J44" s="99" t="s">
        <v>33</v>
      </c>
      <c r="K44" s="99" t="s">
        <v>304</v>
      </c>
      <c r="L44" s="99" t="s">
        <v>33</v>
      </c>
      <c r="M44" s="99" t="s">
        <v>33</v>
      </c>
      <c r="N44" s="49" t="s">
        <v>33</v>
      </c>
      <c r="O44" s="49" t="s">
        <v>33</v>
      </c>
      <c r="P44" s="99" t="s">
        <v>915</v>
      </c>
      <c r="Q44" s="99" t="s">
        <v>916</v>
      </c>
      <c r="R44" s="99" t="s">
        <v>917</v>
      </c>
      <c r="S44" s="49" t="s">
        <v>40</v>
      </c>
      <c r="T44" s="99" t="s">
        <v>33</v>
      </c>
      <c r="U44" s="99" t="s">
        <v>33</v>
      </c>
      <c r="V44" s="99"/>
      <c r="W44" s="99"/>
      <c r="X44" s="99"/>
      <c r="Y44" s="99"/>
      <c r="Z44" s="99" t="s">
        <v>33</v>
      </c>
    </row>
    <row r="45" spans="1:26">
      <c r="A45" s="98">
        <v>46161</v>
      </c>
      <c r="B45" s="99" t="s">
        <v>918</v>
      </c>
      <c r="C45" s="99">
        <v>9940692157</v>
      </c>
      <c r="D45" s="99" t="s">
        <v>919</v>
      </c>
      <c r="E45" s="48" t="s">
        <v>26</v>
      </c>
      <c r="F45" s="99" t="s">
        <v>33</v>
      </c>
      <c r="G45" s="99" t="s">
        <v>33</v>
      </c>
      <c r="H45" s="99" t="s">
        <v>33</v>
      </c>
      <c r="I45" s="99" t="s">
        <v>920</v>
      </c>
      <c r="J45" s="99" t="s">
        <v>33</v>
      </c>
      <c r="K45" s="99" t="s">
        <v>921</v>
      </c>
      <c r="L45" s="99" t="s">
        <v>33</v>
      </c>
      <c r="M45" s="99" t="s">
        <v>33</v>
      </c>
      <c r="N45" s="49" t="s">
        <v>33</v>
      </c>
      <c r="O45" s="49" t="s">
        <v>33</v>
      </c>
      <c r="P45" s="99" t="s">
        <v>798</v>
      </c>
      <c r="Q45" s="99" t="s">
        <v>922</v>
      </c>
      <c r="R45" s="99" t="s">
        <v>923</v>
      </c>
      <c r="S45" s="99" t="s">
        <v>33</v>
      </c>
      <c r="T45" s="99"/>
      <c r="U45" s="99"/>
      <c r="V45" s="99"/>
      <c r="W45" s="99"/>
      <c r="X45" s="99"/>
      <c r="Y45" s="99"/>
      <c r="Z45" s="99"/>
    </row>
    <row r="46" spans="1:26">
      <c r="A46" s="98">
        <v>46163</v>
      </c>
      <c r="B46" s="99" t="s">
        <v>924</v>
      </c>
      <c r="C46" s="99">
        <v>9840489892</v>
      </c>
      <c r="D46" s="99" t="s">
        <v>925</v>
      </c>
      <c r="E46" s="48" t="s">
        <v>43</v>
      </c>
      <c r="F46" s="99" t="s">
        <v>97</v>
      </c>
      <c r="G46" s="99" t="s">
        <v>33</v>
      </c>
      <c r="H46" s="99"/>
      <c r="I46" s="99"/>
      <c r="J46" s="99"/>
      <c r="K46" s="99"/>
      <c r="L46" s="99" t="s">
        <v>33</v>
      </c>
      <c r="M46" s="99" t="s">
        <v>33</v>
      </c>
      <c r="N46" s="49" t="s">
        <v>33</v>
      </c>
      <c r="O46" s="49" t="s">
        <v>33</v>
      </c>
      <c r="P46" s="99" t="s">
        <v>926</v>
      </c>
      <c r="Q46" s="99" t="s">
        <v>927</v>
      </c>
      <c r="R46" s="99" t="s">
        <v>928</v>
      </c>
      <c r="S46" s="49" t="s">
        <v>40</v>
      </c>
      <c r="T46" s="99"/>
      <c r="U46" s="99"/>
      <c r="V46" s="99"/>
      <c r="W46" s="99"/>
      <c r="X46" s="99"/>
      <c r="Y46" s="99"/>
      <c r="Z46" s="99"/>
    </row>
    <row r="47" spans="1:26" ht="15.75" customHeight="1">
      <c r="A47" s="98">
        <v>46164</v>
      </c>
      <c r="B47" s="99" t="s">
        <v>929</v>
      </c>
      <c r="C47" s="99">
        <v>9840208995</v>
      </c>
      <c r="D47" s="99" t="s">
        <v>930</v>
      </c>
      <c r="E47" s="17" t="s">
        <v>26</v>
      </c>
      <c r="F47" s="99" t="s">
        <v>62</v>
      </c>
      <c r="G47" s="99" t="s">
        <v>33</v>
      </c>
      <c r="H47" s="99"/>
      <c r="I47" s="99"/>
      <c r="J47" s="99"/>
      <c r="K47" s="99"/>
      <c r="L47" s="99" t="s">
        <v>33</v>
      </c>
      <c r="M47" s="99" t="s">
        <v>33</v>
      </c>
      <c r="N47" s="49" t="s">
        <v>33</v>
      </c>
      <c r="O47" s="49" t="s">
        <v>33</v>
      </c>
      <c r="P47" s="99" t="s">
        <v>578</v>
      </c>
      <c r="Q47" s="99" t="s">
        <v>931</v>
      </c>
      <c r="R47" s="99" t="s">
        <v>932</v>
      </c>
      <c r="S47" s="99" t="s">
        <v>33</v>
      </c>
      <c r="T47" s="99"/>
      <c r="U47" s="99" t="s">
        <v>33</v>
      </c>
      <c r="V47" s="99"/>
      <c r="W47" s="99"/>
      <c r="X47" s="99"/>
      <c r="Y47" s="99"/>
      <c r="Z47" s="99"/>
    </row>
    <row r="48" spans="1:26" ht="15.75" customHeight="1">
      <c r="A48" s="98">
        <v>46164</v>
      </c>
      <c r="B48" s="99" t="s">
        <v>249</v>
      </c>
      <c r="C48" s="99">
        <v>9841907133</v>
      </c>
      <c r="D48" s="99" t="s">
        <v>250</v>
      </c>
      <c r="E48" s="17" t="s">
        <v>43</v>
      </c>
      <c r="F48" s="99" t="s">
        <v>33</v>
      </c>
      <c r="G48" s="99" t="s">
        <v>33</v>
      </c>
      <c r="H48" s="99"/>
      <c r="I48" s="99"/>
      <c r="J48" s="99"/>
      <c r="K48" s="99"/>
      <c r="L48" s="99" t="s">
        <v>33</v>
      </c>
      <c r="M48" s="99" t="s">
        <v>33</v>
      </c>
      <c r="N48" s="49" t="s">
        <v>33</v>
      </c>
      <c r="O48" s="49" t="s">
        <v>33</v>
      </c>
      <c r="P48" s="99" t="s">
        <v>933</v>
      </c>
      <c r="Q48" s="99" t="s">
        <v>228</v>
      </c>
      <c r="R48" s="99" t="s">
        <v>376</v>
      </c>
      <c r="S48" s="49" t="s">
        <v>40</v>
      </c>
      <c r="T48" s="99" t="s">
        <v>33</v>
      </c>
      <c r="U48" s="99" t="s">
        <v>33</v>
      </c>
      <c r="V48" s="99" t="s">
        <v>33</v>
      </c>
      <c r="W48" s="99" t="s">
        <v>33</v>
      </c>
      <c r="X48" s="99" t="s">
        <v>33</v>
      </c>
      <c r="Y48" s="99"/>
      <c r="Z48" s="99"/>
    </row>
    <row r="49" spans="1:26" ht="15.75" customHeight="1">
      <c r="A49" s="98">
        <v>46167</v>
      </c>
      <c r="B49" s="99" t="s">
        <v>934</v>
      </c>
      <c r="C49" s="99">
        <v>9952965161</v>
      </c>
      <c r="D49" s="99" t="s">
        <v>935</v>
      </c>
      <c r="E49" s="17" t="s">
        <v>48</v>
      </c>
      <c r="F49" s="99" t="s">
        <v>33</v>
      </c>
      <c r="G49" s="99" t="s">
        <v>33</v>
      </c>
      <c r="H49" s="99" t="s">
        <v>33</v>
      </c>
      <c r="I49" s="99" t="s">
        <v>936</v>
      </c>
      <c r="J49" s="99"/>
      <c r="K49" s="99"/>
      <c r="L49" s="99" t="s">
        <v>33</v>
      </c>
      <c r="M49" s="99" t="s">
        <v>33</v>
      </c>
      <c r="N49" s="49" t="s">
        <v>33</v>
      </c>
      <c r="O49" s="49" t="s">
        <v>33</v>
      </c>
      <c r="P49" s="99" t="s">
        <v>697</v>
      </c>
      <c r="Q49" s="99" t="s">
        <v>937</v>
      </c>
      <c r="R49" s="99" t="s">
        <v>938</v>
      </c>
      <c r="S49" s="99" t="s">
        <v>33</v>
      </c>
      <c r="T49" s="99"/>
      <c r="U49" s="99"/>
      <c r="V49" s="99"/>
      <c r="W49" s="99"/>
      <c r="X49" s="99"/>
      <c r="Y49" s="99"/>
      <c r="Z49" s="99"/>
    </row>
    <row r="50" spans="1:26" ht="15.75" customHeight="1">
      <c r="A50" s="98">
        <v>46167</v>
      </c>
      <c r="B50" s="99" t="s">
        <v>939</v>
      </c>
      <c r="C50" s="99">
        <v>9962528984</v>
      </c>
      <c r="D50" s="99" t="s">
        <v>940</v>
      </c>
      <c r="E50" s="17" t="s">
        <v>48</v>
      </c>
      <c r="F50" s="99" t="s">
        <v>33</v>
      </c>
      <c r="G50" s="99" t="s">
        <v>33</v>
      </c>
      <c r="H50" s="99"/>
      <c r="I50" s="99"/>
      <c r="J50" s="99"/>
      <c r="K50" s="99"/>
      <c r="L50" s="99" t="s">
        <v>33</v>
      </c>
      <c r="M50" s="99" t="s">
        <v>33</v>
      </c>
      <c r="N50" s="49" t="s">
        <v>33</v>
      </c>
      <c r="O50" s="49" t="s">
        <v>33</v>
      </c>
      <c r="P50" s="99" t="s">
        <v>697</v>
      </c>
      <c r="Q50" s="99" t="s">
        <v>937</v>
      </c>
      <c r="R50" s="99" t="s">
        <v>941</v>
      </c>
      <c r="S50" s="49" t="s">
        <v>40</v>
      </c>
      <c r="T50" s="99"/>
      <c r="U50" s="99"/>
      <c r="V50" s="99"/>
      <c r="W50" s="99"/>
      <c r="X50" s="99"/>
      <c r="Y50" s="99"/>
      <c r="Z50" s="99"/>
    </row>
    <row r="51" spans="1:26" ht="15.75" customHeight="1">
      <c r="A51" s="98">
        <v>46167</v>
      </c>
      <c r="B51" s="99" t="s">
        <v>942</v>
      </c>
      <c r="C51" s="99">
        <v>9884833045</v>
      </c>
      <c r="D51" s="99" t="s">
        <v>943</v>
      </c>
      <c r="E51" s="17" t="s">
        <v>48</v>
      </c>
      <c r="F51" s="99" t="s">
        <v>33</v>
      </c>
      <c r="G51" s="99" t="s">
        <v>33</v>
      </c>
      <c r="H51" s="99" t="s">
        <v>33</v>
      </c>
      <c r="I51" s="99" t="s">
        <v>944</v>
      </c>
      <c r="J51" s="99" t="s">
        <v>33</v>
      </c>
      <c r="K51" s="99" t="s">
        <v>304</v>
      </c>
      <c r="L51" s="99" t="s">
        <v>33</v>
      </c>
      <c r="M51" s="99" t="s">
        <v>33</v>
      </c>
      <c r="N51" s="49" t="s">
        <v>33</v>
      </c>
      <c r="O51" s="49" t="s">
        <v>33</v>
      </c>
      <c r="P51" s="99" t="s">
        <v>945</v>
      </c>
      <c r="Q51" s="99" t="s">
        <v>946</v>
      </c>
      <c r="R51" s="99" t="s">
        <v>947</v>
      </c>
      <c r="S51" s="50" t="s">
        <v>40</v>
      </c>
      <c r="T51" s="99"/>
      <c r="U51" s="99"/>
      <c r="V51" s="99" t="s">
        <v>33</v>
      </c>
      <c r="W51" s="99"/>
      <c r="X51" s="99"/>
      <c r="Y51" s="99"/>
      <c r="Z51" s="99"/>
    </row>
    <row r="52" spans="1:26" ht="15.75" customHeight="1">
      <c r="A52" s="98">
        <v>46167</v>
      </c>
      <c r="B52" s="99" t="s">
        <v>186</v>
      </c>
      <c r="C52" s="99">
        <v>9884329942</v>
      </c>
      <c r="D52" s="99" t="s">
        <v>187</v>
      </c>
      <c r="E52" s="17" t="s">
        <v>26</v>
      </c>
      <c r="F52" s="99" t="s">
        <v>33</v>
      </c>
      <c r="G52" s="99" t="s">
        <v>33</v>
      </c>
      <c r="H52" s="99"/>
      <c r="I52" s="99"/>
      <c r="J52" s="99"/>
      <c r="K52" s="99"/>
      <c r="L52" s="99" t="s">
        <v>33</v>
      </c>
      <c r="M52" s="99" t="s">
        <v>33</v>
      </c>
      <c r="N52" s="49" t="s">
        <v>33</v>
      </c>
      <c r="O52" s="49" t="s">
        <v>33</v>
      </c>
      <c r="P52" s="99" t="s">
        <v>948</v>
      </c>
      <c r="Q52" s="99" t="s">
        <v>949</v>
      </c>
      <c r="R52" s="99" t="s">
        <v>950</v>
      </c>
      <c r="S52" s="50" t="s">
        <v>40</v>
      </c>
      <c r="T52" s="99" t="s">
        <v>33</v>
      </c>
      <c r="U52" s="99"/>
      <c r="V52" s="99" t="s">
        <v>33</v>
      </c>
      <c r="W52" s="99"/>
      <c r="X52" s="99"/>
      <c r="Y52" s="99"/>
      <c r="Z52" s="99" t="s">
        <v>33</v>
      </c>
    </row>
    <row r="53" spans="1:26" ht="15.75" customHeight="1">
      <c r="A53" s="98">
        <v>46168</v>
      </c>
      <c r="B53" s="99" t="s">
        <v>951</v>
      </c>
      <c r="C53" s="99">
        <v>8438243843</v>
      </c>
      <c r="D53" s="99" t="s">
        <v>665</v>
      </c>
      <c r="E53" s="17" t="s">
        <v>55</v>
      </c>
      <c r="F53" s="99" t="s">
        <v>33</v>
      </c>
      <c r="G53" s="99" t="s">
        <v>33</v>
      </c>
      <c r="H53" s="99"/>
      <c r="I53" s="99"/>
      <c r="J53" s="99"/>
      <c r="K53" s="99"/>
      <c r="L53" s="99" t="s">
        <v>33</v>
      </c>
      <c r="M53" s="99" t="s">
        <v>33</v>
      </c>
      <c r="N53" s="49" t="s">
        <v>33</v>
      </c>
      <c r="O53" s="49" t="s">
        <v>33</v>
      </c>
      <c r="P53" s="99" t="s">
        <v>666</v>
      </c>
      <c r="Q53" s="99" t="s">
        <v>667</v>
      </c>
      <c r="R53" s="99" t="s">
        <v>952</v>
      </c>
      <c r="S53" s="99" t="s">
        <v>33</v>
      </c>
      <c r="T53" s="99"/>
      <c r="U53" s="99"/>
      <c r="V53" s="99"/>
      <c r="W53" s="99"/>
      <c r="X53" s="99"/>
      <c r="Y53" s="99"/>
      <c r="Z53" s="99"/>
    </row>
    <row r="54" spans="1:26" ht="15.75" customHeight="1">
      <c r="A54" s="98">
        <v>46168</v>
      </c>
      <c r="B54" s="99" t="s">
        <v>249</v>
      </c>
      <c r="C54" s="99">
        <v>9841907133</v>
      </c>
      <c r="D54" s="99" t="s">
        <v>250</v>
      </c>
      <c r="E54" s="17" t="s">
        <v>43</v>
      </c>
      <c r="F54" s="99" t="s">
        <v>62</v>
      </c>
      <c r="G54" s="99" t="s">
        <v>33</v>
      </c>
      <c r="H54" s="99"/>
      <c r="I54" s="99"/>
      <c r="J54" s="99"/>
      <c r="K54" s="99"/>
      <c r="L54" s="99" t="s">
        <v>33</v>
      </c>
      <c r="M54" s="99" t="s">
        <v>33</v>
      </c>
      <c r="N54" s="49" t="s">
        <v>33</v>
      </c>
      <c r="O54" s="49" t="s">
        <v>33</v>
      </c>
      <c r="P54" s="99" t="s">
        <v>933</v>
      </c>
      <c r="Q54" s="99" t="s">
        <v>228</v>
      </c>
      <c r="R54" s="99" t="s">
        <v>376</v>
      </c>
      <c r="S54" s="49" t="s">
        <v>40</v>
      </c>
      <c r="T54" s="99" t="s">
        <v>33</v>
      </c>
      <c r="U54" s="99" t="s">
        <v>33</v>
      </c>
      <c r="V54" s="99" t="s">
        <v>33</v>
      </c>
      <c r="W54" s="99" t="s">
        <v>33</v>
      </c>
      <c r="X54" s="99" t="s">
        <v>33</v>
      </c>
      <c r="Y54" s="99"/>
      <c r="Z54" s="99"/>
    </row>
    <row r="55" spans="1:26" ht="15.75" customHeight="1">
      <c r="A55" s="97">
        <v>46169</v>
      </c>
      <c r="B55" t="s">
        <v>953</v>
      </c>
      <c r="C55">
        <v>9043045481</v>
      </c>
      <c r="D55" s="51" t="s">
        <v>954</v>
      </c>
      <c r="E55" s="43" t="s">
        <v>25</v>
      </c>
      <c r="F55" s="51" t="s">
        <v>97</v>
      </c>
      <c r="G55" s="51" t="s">
        <v>33</v>
      </c>
      <c r="H55" s="51"/>
      <c r="I55" s="51"/>
      <c r="J55" s="51"/>
      <c r="K55" s="51"/>
      <c r="L55" s="51" t="s">
        <v>33</v>
      </c>
      <c r="M55" s="51" t="s">
        <v>33</v>
      </c>
      <c r="N55" s="49" t="s">
        <v>33</v>
      </c>
      <c r="O55" s="49" t="s">
        <v>33</v>
      </c>
      <c r="P55" s="99" t="s">
        <v>578</v>
      </c>
      <c r="Q55" s="99" t="s">
        <v>955</v>
      </c>
      <c r="R55" s="51" t="s">
        <v>956</v>
      </c>
      <c r="S55" s="50" t="s">
        <v>40</v>
      </c>
      <c r="T55" s="51"/>
      <c r="U55" s="51"/>
      <c r="V55" s="51"/>
      <c r="W55" s="51"/>
      <c r="X55" s="51"/>
      <c r="Y55" s="51"/>
      <c r="Z55" s="51"/>
    </row>
    <row r="56" spans="1:26" ht="15.75" customHeight="1">
      <c r="A56" s="98">
        <v>46171</v>
      </c>
      <c r="B56" s="99" t="s">
        <v>957</v>
      </c>
      <c r="C56" s="99">
        <v>9677076903</v>
      </c>
      <c r="D56" s="99" t="s">
        <v>958</v>
      </c>
      <c r="E56" s="17" t="s">
        <v>48</v>
      </c>
      <c r="F56" s="99" t="s">
        <v>33</v>
      </c>
      <c r="G56" s="99" t="s">
        <v>33</v>
      </c>
      <c r="H56" s="99"/>
      <c r="I56" s="99"/>
      <c r="J56" s="99"/>
      <c r="K56" s="99"/>
      <c r="L56" s="51" t="s">
        <v>33</v>
      </c>
      <c r="M56" s="51" t="s">
        <v>33</v>
      </c>
      <c r="N56" s="49" t="s">
        <v>33</v>
      </c>
      <c r="O56" s="49" t="s">
        <v>33</v>
      </c>
      <c r="P56" s="99" t="s">
        <v>959</v>
      </c>
      <c r="Q56" s="99" t="s">
        <v>960</v>
      </c>
      <c r="R56" s="99" t="s">
        <v>961</v>
      </c>
      <c r="S56" s="50" t="s">
        <v>40</v>
      </c>
      <c r="T56" s="99" t="s">
        <v>33</v>
      </c>
      <c r="U56" s="99"/>
      <c r="V56" s="99"/>
      <c r="W56" s="99"/>
      <c r="X56" s="99" t="s">
        <v>33</v>
      </c>
      <c r="Y56" s="99" t="s">
        <v>33</v>
      </c>
      <c r="Z56" s="99"/>
    </row>
    <row r="57" spans="1:26" ht="15.75" customHeight="1">
      <c r="A57" s="98">
        <v>46171</v>
      </c>
      <c r="B57" s="99" t="s">
        <v>962</v>
      </c>
      <c r="C57" s="99">
        <v>8807440251</v>
      </c>
      <c r="D57" s="55" t="s">
        <v>963</v>
      </c>
      <c r="E57" s="17" t="s">
        <v>48</v>
      </c>
      <c r="F57" s="99" t="s">
        <v>33</v>
      </c>
      <c r="G57" s="99" t="s">
        <v>33</v>
      </c>
      <c r="H57" s="99" t="s">
        <v>33</v>
      </c>
      <c r="I57" s="18" t="s">
        <v>964</v>
      </c>
      <c r="J57" s="99" t="s">
        <v>33</v>
      </c>
      <c r="K57" s="41" t="s">
        <v>965</v>
      </c>
      <c r="L57" s="51" t="s">
        <v>33</v>
      </c>
      <c r="M57" s="51" t="s">
        <v>33</v>
      </c>
      <c r="N57" s="49" t="s">
        <v>33</v>
      </c>
      <c r="O57" s="49" t="s">
        <v>33</v>
      </c>
      <c r="P57" s="99" t="s">
        <v>966</v>
      </c>
      <c r="Q57" s="99" t="s">
        <v>967</v>
      </c>
      <c r="R57" s="99" t="s">
        <v>968</v>
      </c>
      <c r="S57" s="49" t="s">
        <v>40</v>
      </c>
      <c r="T57" s="99" t="s">
        <v>33</v>
      </c>
      <c r="U57" s="99"/>
      <c r="V57" s="99"/>
      <c r="W57" s="99"/>
      <c r="X57" s="99"/>
      <c r="Y57" s="99"/>
      <c r="Z57" s="99"/>
    </row>
    <row r="58" spans="1:26" ht="15.75" customHeight="1">
      <c r="A58" s="98">
        <v>46171</v>
      </c>
      <c r="B58" s="99" t="s">
        <v>969</v>
      </c>
      <c r="C58" s="99">
        <v>9677195407</v>
      </c>
      <c r="D58" s="99" t="s">
        <v>970</v>
      </c>
      <c r="E58" s="17" t="s">
        <v>25</v>
      </c>
      <c r="F58" s="99" t="s">
        <v>33</v>
      </c>
      <c r="G58" s="99" t="s">
        <v>33</v>
      </c>
      <c r="H58" s="99"/>
      <c r="I58" s="99"/>
      <c r="J58" s="99"/>
      <c r="K58" s="99"/>
      <c r="L58" s="51" t="s">
        <v>33</v>
      </c>
      <c r="M58" s="51" t="s">
        <v>33</v>
      </c>
      <c r="N58" s="49" t="s">
        <v>33</v>
      </c>
      <c r="O58" s="49" t="s">
        <v>33</v>
      </c>
      <c r="P58" s="99" t="s">
        <v>971</v>
      </c>
      <c r="Q58" s="99" t="s">
        <v>306</v>
      </c>
      <c r="R58" s="99" t="s">
        <v>972</v>
      </c>
      <c r="S58" s="50" t="s">
        <v>40</v>
      </c>
      <c r="T58" s="99"/>
      <c r="U58" s="99"/>
      <c r="V58" s="99"/>
      <c r="W58" s="99"/>
      <c r="X58" s="99"/>
      <c r="Y58" s="99"/>
      <c r="Z58" s="99"/>
    </row>
    <row r="59" spans="1:26" ht="15.75" customHeight="1">
      <c r="A59" s="98">
        <v>46171</v>
      </c>
      <c r="B59" s="99" t="s">
        <v>973</v>
      </c>
      <c r="C59" s="99">
        <v>9486588699</v>
      </c>
      <c r="D59" s="99" t="s">
        <v>974</v>
      </c>
      <c r="E59" s="17" t="s">
        <v>48</v>
      </c>
      <c r="F59" s="99" t="s">
        <v>33</v>
      </c>
      <c r="G59" s="99" t="s">
        <v>33</v>
      </c>
      <c r="H59" s="99" t="s">
        <v>33</v>
      </c>
      <c r="I59" s="39" t="s">
        <v>67</v>
      </c>
      <c r="J59" s="99" t="s">
        <v>33</v>
      </c>
      <c r="K59" s="99" t="s">
        <v>304</v>
      </c>
      <c r="L59" s="99" t="s">
        <v>33</v>
      </c>
      <c r="M59" s="99" t="s">
        <v>33</v>
      </c>
      <c r="N59" s="49" t="s">
        <v>33</v>
      </c>
      <c r="O59" s="49" t="s">
        <v>33</v>
      </c>
      <c r="P59" s="99" t="s">
        <v>975</v>
      </c>
      <c r="Q59" s="99" t="s">
        <v>976</v>
      </c>
      <c r="R59" s="99" t="s">
        <v>977</v>
      </c>
      <c r="S59" s="99" t="s">
        <v>33</v>
      </c>
      <c r="T59" s="99" t="s">
        <v>33</v>
      </c>
      <c r="U59" s="99"/>
      <c r="V59" s="99"/>
      <c r="W59" s="99"/>
      <c r="X59" s="99"/>
      <c r="Y59" s="99" t="s">
        <v>33</v>
      </c>
      <c r="Z59" s="99"/>
    </row>
    <row r="61" spans="1:26" s="66" customFormat="1">
      <c r="B61" s="66" t="s">
        <v>978</v>
      </c>
      <c r="G61" s="66" t="s">
        <v>979</v>
      </c>
      <c r="I61" s="66" t="s">
        <v>270</v>
      </c>
      <c r="K61" s="66" t="s">
        <v>13</v>
      </c>
      <c r="R61" s="66" t="s">
        <v>271</v>
      </c>
      <c r="S61" s="66" t="s">
        <v>272</v>
      </c>
    </row>
    <row r="62" spans="1:26" s="66" customFormat="1">
      <c r="G62" s="66" t="s">
        <v>980</v>
      </c>
      <c r="I62" s="65">
        <f>(16/31)</f>
        <v>0.5161290322580645</v>
      </c>
      <c r="K62" s="65">
        <f>11/31</f>
        <v>0.35483870967741937</v>
      </c>
      <c r="R62" s="66">
        <v>30</v>
      </c>
      <c r="S62" s="66">
        <v>21</v>
      </c>
    </row>
  </sheetData>
  <autoFilter ref="A28:Z59" xr:uid="{00000000-0009-0000-0000-000004000000}"/>
  <mergeCells count="1">
    <mergeCell ref="A1:E1"/>
  </mergeCells>
  <hyperlinks>
    <hyperlink ref="N20" r:id="rId1" xr:uid="{00000000-0004-0000-0400-000000000000}"/>
    <hyperlink ref="D35" r:id="rId2" xr:uid="{00000000-0004-0000-0400-000001000000}"/>
    <hyperlink ref="D36" r:id="rId3" xr:uid="{00000000-0004-0000-0400-000002000000}"/>
    <hyperlink ref="D37" r:id="rId4" xr:uid="{00000000-0004-0000-0400-000003000000}"/>
    <hyperlink ref="R47" r:id="rId5" xr:uid="{00000000-0004-0000-0400-000004000000}"/>
    <hyperlink ref="R48" r:id="rId6" xr:uid="{00000000-0004-0000-0400-000005000000}"/>
    <hyperlink ref="D57" r:id="rId7" xr:uid="{00000000-0004-0000-0400-000006000000}"/>
  </hyperlinks>
  <pageMargins left="0.7" right="0.7" top="0.75" bottom="0.75" header="0.3" footer="0.3"/>
  <pageSetup orientation="portrait"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B87"/>
  <sheetViews>
    <sheetView topLeftCell="A61" zoomScale="81" zoomScaleNormal="81" workbookViewId="0">
      <selection activeCell="S84" sqref="S84"/>
    </sheetView>
  </sheetViews>
  <sheetFormatPr defaultRowHeight="14.5"/>
  <cols>
    <col min="1" max="1" width="12.81640625" style="44" customWidth="1"/>
    <col min="3" max="3" width="16.7265625" style="44" customWidth="1"/>
    <col min="4" max="4" width="22.1796875" style="44" customWidth="1"/>
    <col min="7" max="7" width="19.26953125" style="44" bestFit="1" customWidth="1"/>
    <col min="11" max="11" width="13.453125" style="44" customWidth="1"/>
    <col min="12" max="12" width="5.7265625" style="44" customWidth="1"/>
    <col min="13" max="13" width="5" style="44" customWidth="1"/>
    <col min="14" max="14" width="4.81640625" style="44" customWidth="1"/>
    <col min="15" max="15" width="5.453125" style="44" customWidth="1"/>
    <col min="18" max="18" width="14.453125" style="44" customWidth="1"/>
    <col min="19" max="19" width="4.26953125" style="44" customWidth="1"/>
    <col min="20" max="20" width="3.54296875" style="44" customWidth="1"/>
    <col min="21" max="22" width="3.81640625" style="44" customWidth="1"/>
    <col min="23" max="23" width="4.54296875" style="44" customWidth="1"/>
    <col min="24" max="24" width="4.453125" style="44" customWidth="1"/>
    <col min="25" max="25" width="3.81640625" style="44" customWidth="1"/>
    <col min="26" max="27" width="4" style="44" customWidth="1"/>
    <col min="28" max="28" width="4.453125" style="44" customWidth="1"/>
  </cols>
  <sheetData>
    <row r="1" spans="1:5">
      <c r="A1" s="107" t="s">
        <v>981</v>
      </c>
      <c r="B1" s="105"/>
      <c r="C1" s="105"/>
      <c r="D1" s="105"/>
      <c r="E1" s="106"/>
    </row>
    <row r="2" spans="1:5">
      <c r="A2" s="103" t="s">
        <v>1</v>
      </c>
      <c r="B2" s="103">
        <v>2093</v>
      </c>
      <c r="C2" s="45">
        <v>2337</v>
      </c>
      <c r="D2" s="103">
        <v>2394</v>
      </c>
      <c r="E2" s="103" t="s">
        <v>2</v>
      </c>
    </row>
    <row r="3" spans="1:5">
      <c r="A3" s="98">
        <v>46174</v>
      </c>
      <c r="B3" s="99">
        <v>2</v>
      </c>
      <c r="C3" s="99">
        <v>1</v>
      </c>
      <c r="D3" s="99">
        <v>1</v>
      </c>
      <c r="E3" s="99">
        <v>4</v>
      </c>
    </row>
    <row r="4" spans="1:5">
      <c r="A4" s="98">
        <v>46175</v>
      </c>
      <c r="B4" s="99"/>
      <c r="C4" s="99"/>
      <c r="D4" s="99"/>
      <c r="E4" s="99"/>
    </row>
    <row r="5" spans="1:5">
      <c r="A5" s="98">
        <v>46176</v>
      </c>
      <c r="B5" s="99"/>
      <c r="C5" s="99"/>
      <c r="D5" s="99">
        <v>1</v>
      </c>
      <c r="E5" s="99">
        <v>1</v>
      </c>
    </row>
    <row r="6" spans="1:5">
      <c r="A6" s="98">
        <v>46177</v>
      </c>
      <c r="B6" s="99"/>
      <c r="C6" s="99"/>
      <c r="D6" s="99"/>
      <c r="E6" s="99"/>
    </row>
    <row r="7" spans="1:5">
      <c r="A7" s="98">
        <v>46178</v>
      </c>
      <c r="B7" s="99">
        <v>1</v>
      </c>
      <c r="C7" s="99"/>
      <c r="D7" s="99">
        <v>1</v>
      </c>
      <c r="E7" s="99">
        <v>2</v>
      </c>
    </row>
    <row r="8" spans="1:5">
      <c r="A8" s="98">
        <v>46181</v>
      </c>
      <c r="B8" s="99">
        <v>1</v>
      </c>
      <c r="C8" s="99"/>
      <c r="D8" s="99"/>
      <c r="E8" s="99">
        <v>1</v>
      </c>
    </row>
    <row r="9" spans="1:5">
      <c r="A9" s="98">
        <v>46182</v>
      </c>
      <c r="B9" s="99">
        <v>1</v>
      </c>
      <c r="C9" s="99"/>
      <c r="D9" s="99">
        <v>1</v>
      </c>
      <c r="E9" s="99">
        <v>2</v>
      </c>
    </row>
    <row r="10" spans="1:5">
      <c r="A10" s="98">
        <v>46183</v>
      </c>
      <c r="B10" s="99">
        <v>2</v>
      </c>
      <c r="C10" s="99"/>
      <c r="D10" s="99"/>
      <c r="E10" s="99">
        <v>2</v>
      </c>
    </row>
    <row r="11" spans="1:5">
      <c r="A11" s="98">
        <v>46184</v>
      </c>
      <c r="B11" s="99">
        <v>2</v>
      </c>
      <c r="C11" s="99"/>
      <c r="D11" s="99">
        <v>2</v>
      </c>
      <c r="E11" s="99">
        <v>4</v>
      </c>
    </row>
    <row r="12" spans="1:5">
      <c r="A12" s="98">
        <v>46185</v>
      </c>
      <c r="B12" s="99">
        <v>1</v>
      </c>
      <c r="C12" s="99">
        <v>1</v>
      </c>
      <c r="D12" s="99">
        <v>1</v>
      </c>
      <c r="E12" s="99">
        <v>3</v>
      </c>
    </row>
    <row r="13" spans="1:5">
      <c r="A13" s="98">
        <v>46188</v>
      </c>
      <c r="B13" s="99">
        <v>1</v>
      </c>
      <c r="C13" s="99">
        <v>1</v>
      </c>
      <c r="D13" s="99">
        <v>1</v>
      </c>
      <c r="E13" s="99">
        <v>3</v>
      </c>
    </row>
    <row r="14" spans="1:5">
      <c r="A14" s="98">
        <v>46189</v>
      </c>
      <c r="B14" s="99">
        <v>1</v>
      </c>
      <c r="C14" s="99">
        <v>1</v>
      </c>
      <c r="D14" s="99"/>
      <c r="E14" s="99">
        <v>2</v>
      </c>
    </row>
    <row r="15" spans="1:5">
      <c r="A15" s="98">
        <v>46190</v>
      </c>
      <c r="B15" s="99">
        <v>1</v>
      </c>
      <c r="C15" s="99">
        <v>1</v>
      </c>
      <c r="D15" s="99">
        <v>1</v>
      </c>
      <c r="E15" s="99">
        <v>3</v>
      </c>
    </row>
    <row r="16" spans="1:5">
      <c r="A16" s="98">
        <v>46191</v>
      </c>
      <c r="B16" s="99"/>
      <c r="C16" s="99"/>
      <c r="D16" s="99">
        <v>2</v>
      </c>
      <c r="E16" s="99">
        <v>2</v>
      </c>
    </row>
    <row r="17" spans="1:27">
      <c r="A17" s="98">
        <v>46192</v>
      </c>
      <c r="B17" s="99">
        <v>1</v>
      </c>
      <c r="C17" s="99">
        <v>1</v>
      </c>
      <c r="D17" s="99"/>
      <c r="E17" s="99">
        <v>2</v>
      </c>
    </row>
    <row r="18" spans="1:27">
      <c r="A18" s="98">
        <v>46195</v>
      </c>
      <c r="B18" s="99"/>
      <c r="C18" s="99">
        <v>1</v>
      </c>
      <c r="D18" s="99">
        <v>2</v>
      </c>
      <c r="E18" s="99">
        <v>3</v>
      </c>
    </row>
    <row r="19" spans="1:27">
      <c r="A19" s="98">
        <v>46196</v>
      </c>
      <c r="B19" s="99">
        <v>1</v>
      </c>
      <c r="C19" s="99">
        <v>1</v>
      </c>
      <c r="D19" s="99"/>
      <c r="E19" s="99">
        <v>2</v>
      </c>
    </row>
    <row r="20" spans="1:27">
      <c r="A20" s="98">
        <v>46197</v>
      </c>
      <c r="B20" s="99"/>
      <c r="C20" s="99"/>
      <c r="D20" s="99"/>
      <c r="E20" s="99"/>
    </row>
    <row r="21" spans="1:27">
      <c r="A21" s="98">
        <v>46198</v>
      </c>
      <c r="B21" s="99">
        <v>2</v>
      </c>
      <c r="C21" s="99">
        <v>1</v>
      </c>
      <c r="D21" s="99">
        <v>1</v>
      </c>
      <c r="E21" s="99">
        <v>4</v>
      </c>
    </row>
    <row r="22" spans="1:27">
      <c r="A22" s="98">
        <v>46199</v>
      </c>
      <c r="B22" s="99">
        <v>1</v>
      </c>
      <c r="C22" s="99">
        <v>1</v>
      </c>
      <c r="D22" s="99">
        <v>1</v>
      </c>
      <c r="E22" s="99">
        <v>3</v>
      </c>
    </row>
    <row r="23" spans="1:27">
      <c r="A23" s="98">
        <v>46202</v>
      </c>
      <c r="B23" s="99">
        <v>1</v>
      </c>
      <c r="C23" s="99">
        <v>2</v>
      </c>
      <c r="D23" s="99"/>
      <c r="E23" s="99">
        <v>3</v>
      </c>
    </row>
    <row r="24" spans="1:27">
      <c r="A24" s="98">
        <v>46203</v>
      </c>
      <c r="B24" s="99"/>
      <c r="C24" s="99">
        <v>2</v>
      </c>
      <c r="D24" s="99">
        <v>2</v>
      </c>
      <c r="E24" s="99">
        <v>4</v>
      </c>
    </row>
    <row r="25" spans="1:27">
      <c r="A25" s="99"/>
      <c r="B25" s="99">
        <v>19</v>
      </c>
      <c r="C25" s="99">
        <v>14</v>
      </c>
      <c r="D25" s="99">
        <v>17</v>
      </c>
      <c r="E25" s="99"/>
    </row>
    <row r="26" spans="1:27">
      <c r="D26" s="99" t="s">
        <v>430</v>
      </c>
      <c r="E26" s="99">
        <v>50</v>
      </c>
    </row>
    <row r="31" spans="1:27" ht="190.5" customHeight="1">
      <c r="A31" s="103" t="s">
        <v>1</v>
      </c>
      <c r="B31" s="103" t="s">
        <v>5</v>
      </c>
      <c r="C31" s="45" t="s">
        <v>6</v>
      </c>
      <c r="D31" s="103" t="s">
        <v>7</v>
      </c>
      <c r="E31" s="103" t="s">
        <v>8</v>
      </c>
      <c r="F31" s="46" t="s">
        <v>275</v>
      </c>
      <c r="G31" s="46" t="s">
        <v>10</v>
      </c>
      <c r="H31" s="47" t="s">
        <v>11</v>
      </c>
      <c r="I31" s="103" t="s">
        <v>12</v>
      </c>
      <c r="J31" s="46" t="s">
        <v>13</v>
      </c>
      <c r="K31" s="103" t="s">
        <v>12</v>
      </c>
      <c r="L31" s="46" t="s">
        <v>15</v>
      </c>
      <c r="M31" s="46" t="s">
        <v>16</v>
      </c>
      <c r="N31" s="46" t="s">
        <v>17</v>
      </c>
      <c r="O31" s="46" t="s">
        <v>18</v>
      </c>
      <c r="P31" s="103" t="s">
        <v>19</v>
      </c>
      <c r="Q31" s="103" t="s">
        <v>20</v>
      </c>
      <c r="R31" s="103" t="s">
        <v>21</v>
      </c>
      <c r="S31" s="46" t="s">
        <v>22</v>
      </c>
      <c r="T31" s="46" t="s">
        <v>23</v>
      </c>
      <c r="U31" s="46" t="s">
        <v>24</v>
      </c>
      <c r="V31" s="46" t="s">
        <v>982</v>
      </c>
      <c r="W31" s="46" t="s">
        <v>25</v>
      </c>
      <c r="X31" s="46" t="s">
        <v>26</v>
      </c>
      <c r="Y31" s="46" t="s">
        <v>27</v>
      </c>
      <c r="Z31" s="46" t="s">
        <v>28</v>
      </c>
      <c r="AA31" s="46" t="s">
        <v>29</v>
      </c>
    </row>
    <row r="32" spans="1:27" ht="17.25" customHeight="1">
      <c r="A32" s="98">
        <v>46174</v>
      </c>
      <c r="B32" s="99" t="s">
        <v>983</v>
      </c>
      <c r="C32" s="99">
        <v>8056222282</v>
      </c>
      <c r="D32" s="99" t="s">
        <v>984</v>
      </c>
      <c r="E32" s="17" t="s">
        <v>86</v>
      </c>
      <c r="F32" s="99" t="s">
        <v>62</v>
      </c>
      <c r="G32" s="99" t="s">
        <v>33</v>
      </c>
      <c r="H32" s="99"/>
      <c r="I32" s="74"/>
      <c r="J32" s="99"/>
      <c r="K32" s="99"/>
      <c r="L32" s="99" t="s">
        <v>33</v>
      </c>
      <c r="M32" s="99" t="s">
        <v>33</v>
      </c>
      <c r="N32" s="49" t="s">
        <v>33</v>
      </c>
      <c r="O32" s="49" t="s">
        <v>33</v>
      </c>
      <c r="P32" s="53" t="s">
        <v>985</v>
      </c>
      <c r="Q32" s="54" t="s">
        <v>986</v>
      </c>
      <c r="R32" s="99" t="s">
        <v>987</v>
      </c>
      <c r="S32" s="50" t="s">
        <v>33</v>
      </c>
      <c r="T32" s="99"/>
      <c r="U32" s="99"/>
      <c r="V32" s="99"/>
      <c r="W32" s="99"/>
      <c r="X32" s="99"/>
      <c r="Y32" s="99"/>
      <c r="Z32" s="99"/>
      <c r="AA32" s="99"/>
    </row>
    <row r="33" spans="1:27" ht="17.25" customHeight="1">
      <c r="A33" s="98">
        <v>46174</v>
      </c>
      <c r="B33" s="99" t="s">
        <v>988</v>
      </c>
      <c r="C33" s="99">
        <v>7010277967</v>
      </c>
      <c r="D33" s="99" t="s">
        <v>989</v>
      </c>
      <c r="E33" s="17" t="s">
        <v>25</v>
      </c>
      <c r="F33" s="99" t="s">
        <v>62</v>
      </c>
      <c r="G33" s="60" t="s">
        <v>37</v>
      </c>
      <c r="H33" s="99"/>
      <c r="I33" s="74"/>
      <c r="J33" s="99"/>
      <c r="K33" s="99"/>
      <c r="L33" s="99" t="s">
        <v>33</v>
      </c>
      <c r="M33" s="99" t="s">
        <v>33</v>
      </c>
      <c r="N33" s="49" t="s">
        <v>33</v>
      </c>
      <c r="O33" s="49" t="s">
        <v>33</v>
      </c>
      <c r="P33" s="53" t="s">
        <v>990</v>
      </c>
      <c r="Q33" s="54" t="s">
        <v>991</v>
      </c>
      <c r="R33" s="99" t="s">
        <v>992</v>
      </c>
      <c r="S33" s="50" t="s">
        <v>40</v>
      </c>
      <c r="T33" s="99" t="s">
        <v>33</v>
      </c>
      <c r="U33" s="99" t="s">
        <v>33</v>
      </c>
      <c r="V33" s="99"/>
      <c r="W33" s="99"/>
      <c r="X33" s="99"/>
      <c r="Y33" s="99"/>
      <c r="Z33" s="99"/>
      <c r="AA33" s="99"/>
    </row>
    <row r="34" spans="1:27" ht="17.25" customHeight="1">
      <c r="A34" s="98">
        <v>46174</v>
      </c>
      <c r="B34" s="99" t="s">
        <v>993</v>
      </c>
      <c r="C34" s="99">
        <v>7904320283</v>
      </c>
      <c r="D34" s="99" t="s">
        <v>994</v>
      </c>
      <c r="E34" s="17" t="s">
        <v>86</v>
      </c>
      <c r="F34" s="99" t="s">
        <v>33</v>
      </c>
      <c r="G34" s="99" t="s">
        <v>33</v>
      </c>
      <c r="H34" s="99"/>
      <c r="I34" s="74"/>
      <c r="J34" s="99"/>
      <c r="K34" s="99"/>
      <c r="L34" s="99" t="s">
        <v>33</v>
      </c>
      <c r="M34" s="99" t="s">
        <v>33</v>
      </c>
      <c r="N34" s="49" t="s">
        <v>33</v>
      </c>
      <c r="O34" s="49" t="s">
        <v>33</v>
      </c>
      <c r="P34" s="53" t="s">
        <v>593</v>
      </c>
      <c r="Q34" s="53" t="s">
        <v>434</v>
      </c>
      <c r="R34" s="99" t="s">
        <v>995</v>
      </c>
      <c r="S34" s="49" t="s">
        <v>40</v>
      </c>
      <c r="T34" s="99" t="s">
        <v>33</v>
      </c>
      <c r="U34" s="99" t="s">
        <v>33</v>
      </c>
      <c r="V34" s="99"/>
      <c r="W34" s="99"/>
      <c r="X34" s="99"/>
      <c r="Y34" s="99"/>
      <c r="Z34" s="99"/>
      <c r="AA34" s="99"/>
    </row>
    <row r="35" spans="1:27" ht="15.75" customHeight="1">
      <c r="A35" s="98">
        <v>46174</v>
      </c>
      <c r="B35" s="99" t="s">
        <v>841</v>
      </c>
      <c r="C35" s="99">
        <v>9677892508</v>
      </c>
      <c r="D35" s="99" t="s">
        <v>842</v>
      </c>
      <c r="E35" s="17" t="s">
        <v>48</v>
      </c>
      <c r="F35" s="99" t="s">
        <v>62</v>
      </c>
      <c r="G35" s="99" t="s">
        <v>33</v>
      </c>
      <c r="H35" s="99" t="s">
        <v>33</v>
      </c>
      <c r="I35" s="74" t="s">
        <v>996</v>
      </c>
      <c r="J35" s="99" t="s">
        <v>33</v>
      </c>
      <c r="K35" s="99" t="s">
        <v>304</v>
      </c>
      <c r="L35" s="99" t="s">
        <v>33</v>
      </c>
      <c r="M35" s="99" t="s">
        <v>33</v>
      </c>
      <c r="N35" s="49" t="s">
        <v>33</v>
      </c>
      <c r="O35" s="49" t="s">
        <v>33</v>
      </c>
      <c r="P35" s="99" t="s">
        <v>997</v>
      </c>
      <c r="Q35" s="99" t="s">
        <v>998</v>
      </c>
      <c r="R35" s="99" t="s">
        <v>883</v>
      </c>
      <c r="S35" s="50" t="s">
        <v>40</v>
      </c>
      <c r="T35" s="99"/>
      <c r="U35" s="99"/>
      <c r="V35" s="99"/>
      <c r="W35" s="99"/>
      <c r="X35" s="99"/>
      <c r="Y35" s="99"/>
      <c r="Z35" s="99"/>
      <c r="AA35" s="99"/>
    </row>
    <row r="36" spans="1:27" ht="15.75" customHeight="1">
      <c r="A36" s="98">
        <v>46176</v>
      </c>
      <c r="B36" s="99" t="s">
        <v>186</v>
      </c>
      <c r="C36" s="99">
        <v>9884329942</v>
      </c>
      <c r="D36" s="99" t="s">
        <v>187</v>
      </c>
      <c r="E36" s="17" t="s">
        <v>319</v>
      </c>
      <c r="F36" s="99" t="s">
        <v>33</v>
      </c>
      <c r="G36" s="99" t="s">
        <v>33</v>
      </c>
      <c r="H36" s="99"/>
      <c r="I36" s="74"/>
      <c r="J36" s="99"/>
      <c r="K36" s="99"/>
      <c r="L36" s="99" t="s">
        <v>33</v>
      </c>
      <c r="M36" s="99" t="s">
        <v>33</v>
      </c>
      <c r="N36" s="49" t="s">
        <v>33</v>
      </c>
      <c r="O36" s="49" t="s">
        <v>33</v>
      </c>
      <c r="P36" s="52" t="s">
        <v>948</v>
      </c>
      <c r="Q36" s="52" t="s">
        <v>190</v>
      </c>
      <c r="R36" s="99" t="s">
        <v>950</v>
      </c>
      <c r="S36" s="99" t="s">
        <v>33</v>
      </c>
      <c r="T36" s="99"/>
      <c r="U36" s="99"/>
      <c r="V36" s="99"/>
      <c r="W36" s="99" t="s">
        <v>33</v>
      </c>
      <c r="X36" s="99"/>
      <c r="Y36" s="99"/>
      <c r="Z36" s="99"/>
      <c r="AA36" s="99" t="s">
        <v>33</v>
      </c>
    </row>
    <row r="37" spans="1:27" ht="15.75" customHeight="1">
      <c r="A37" s="98">
        <v>46178</v>
      </c>
      <c r="B37" s="99" t="s">
        <v>999</v>
      </c>
      <c r="C37" s="99">
        <v>9148048085</v>
      </c>
      <c r="D37" s="99" t="s">
        <v>1000</v>
      </c>
      <c r="E37" s="17" t="s">
        <v>48</v>
      </c>
      <c r="F37" s="99" t="s">
        <v>33</v>
      </c>
      <c r="G37" s="99" t="s">
        <v>33</v>
      </c>
      <c r="H37" s="99" t="s">
        <v>33</v>
      </c>
      <c r="I37" s="74" t="s">
        <v>610</v>
      </c>
      <c r="J37" s="99" t="s">
        <v>33</v>
      </c>
      <c r="K37" s="99" t="s">
        <v>304</v>
      </c>
      <c r="L37" s="99" t="s">
        <v>33</v>
      </c>
      <c r="M37" s="99" t="s">
        <v>33</v>
      </c>
      <c r="N37" s="49" t="s">
        <v>33</v>
      </c>
      <c r="O37" s="49" t="s">
        <v>33</v>
      </c>
      <c r="P37" s="52" t="s">
        <v>1001</v>
      </c>
      <c r="Q37" s="52" t="s">
        <v>1002</v>
      </c>
      <c r="R37" s="99" t="s">
        <v>1003</v>
      </c>
      <c r="S37" s="99" t="s">
        <v>33</v>
      </c>
      <c r="T37" s="99"/>
      <c r="U37" s="99"/>
      <c r="V37" s="99"/>
      <c r="W37" s="99"/>
      <c r="X37" s="99"/>
      <c r="Y37" s="99"/>
      <c r="Z37" s="99"/>
      <c r="AA37" s="99"/>
    </row>
    <row r="38" spans="1:27" ht="15.75" customHeight="1">
      <c r="A38" s="98">
        <v>46178</v>
      </c>
      <c r="B38" s="99" t="s">
        <v>1004</v>
      </c>
      <c r="C38" s="99">
        <v>8015758214</v>
      </c>
      <c r="D38" s="99" t="s">
        <v>1005</v>
      </c>
      <c r="E38" s="17" t="s">
        <v>48</v>
      </c>
      <c r="F38" s="99" t="s">
        <v>33</v>
      </c>
      <c r="G38" s="99" t="s">
        <v>33</v>
      </c>
      <c r="H38" s="99" t="s">
        <v>33</v>
      </c>
      <c r="I38" s="74" t="s">
        <v>1006</v>
      </c>
      <c r="J38" s="99" t="s">
        <v>33</v>
      </c>
      <c r="K38" s="99" t="s">
        <v>1007</v>
      </c>
      <c r="L38" s="99" t="s">
        <v>33</v>
      </c>
      <c r="M38" s="99" t="s">
        <v>33</v>
      </c>
      <c r="N38" s="49" t="s">
        <v>33</v>
      </c>
      <c r="O38" s="49" t="s">
        <v>33</v>
      </c>
      <c r="P38" s="99" t="s">
        <v>1008</v>
      </c>
      <c r="Q38" s="99" t="s">
        <v>1009</v>
      </c>
      <c r="R38" s="99" t="s">
        <v>1010</v>
      </c>
      <c r="S38" s="50" t="s">
        <v>40</v>
      </c>
      <c r="T38" s="99"/>
      <c r="U38" s="99"/>
      <c r="V38" s="99"/>
      <c r="W38" s="99"/>
      <c r="X38" s="99"/>
      <c r="Y38" s="99"/>
      <c r="Z38" s="99"/>
      <c r="AA38" s="99"/>
    </row>
    <row r="39" spans="1:27" ht="17.25" customHeight="1">
      <c r="A39" s="98">
        <v>46181</v>
      </c>
      <c r="B39" s="99" t="s">
        <v>281</v>
      </c>
      <c r="C39" s="99">
        <v>9884668490</v>
      </c>
      <c r="D39" s="99" t="s">
        <v>282</v>
      </c>
      <c r="E39" s="17" t="s">
        <v>48</v>
      </c>
      <c r="F39" s="99" t="s">
        <v>33</v>
      </c>
      <c r="G39" s="99" t="s">
        <v>33</v>
      </c>
      <c r="H39" s="99" t="s">
        <v>33</v>
      </c>
      <c r="I39" s="75" t="s">
        <v>1011</v>
      </c>
      <c r="J39" s="99" t="s">
        <v>33</v>
      </c>
      <c r="K39" s="40" t="s">
        <v>1011</v>
      </c>
      <c r="L39" s="99" t="s">
        <v>33</v>
      </c>
      <c r="M39" s="99" t="s">
        <v>33</v>
      </c>
      <c r="N39" s="49" t="s">
        <v>33</v>
      </c>
      <c r="O39" s="49" t="s">
        <v>33</v>
      </c>
      <c r="P39" s="53" t="s">
        <v>1012</v>
      </c>
      <c r="Q39" s="53" t="s">
        <v>1013</v>
      </c>
      <c r="R39" s="99" t="s">
        <v>283</v>
      </c>
      <c r="S39" s="49" t="s">
        <v>40</v>
      </c>
      <c r="T39" s="99"/>
      <c r="U39" s="99"/>
      <c r="V39" s="99"/>
      <c r="W39" s="99"/>
      <c r="X39" s="99"/>
      <c r="Y39" s="99"/>
      <c r="Z39" s="99"/>
      <c r="AA39" s="99"/>
    </row>
    <row r="40" spans="1:27" ht="15.75" customHeight="1">
      <c r="A40" s="98">
        <v>46182</v>
      </c>
      <c r="B40" s="99" t="s">
        <v>1014</v>
      </c>
      <c r="C40" s="99">
        <v>8870581650</v>
      </c>
      <c r="D40" s="99" t="s">
        <v>1015</v>
      </c>
      <c r="E40" s="17" t="s">
        <v>25</v>
      </c>
      <c r="F40" s="99" t="s">
        <v>33</v>
      </c>
      <c r="G40" s="99" t="s">
        <v>33</v>
      </c>
      <c r="H40" s="99" t="s">
        <v>33</v>
      </c>
      <c r="I40" s="74" t="s">
        <v>1016</v>
      </c>
      <c r="J40" s="99" t="s">
        <v>33</v>
      </c>
      <c r="K40" s="99" t="s">
        <v>304</v>
      </c>
      <c r="L40" s="99" t="s">
        <v>33</v>
      </c>
      <c r="M40" s="99" t="s">
        <v>33</v>
      </c>
      <c r="N40" s="49" t="s">
        <v>33</v>
      </c>
      <c r="O40" s="49" t="s">
        <v>33</v>
      </c>
      <c r="P40" s="99" t="s">
        <v>92</v>
      </c>
      <c r="Q40" s="99" t="s">
        <v>1017</v>
      </c>
      <c r="R40" s="99" t="s">
        <v>1018</v>
      </c>
      <c r="S40" s="99" t="s">
        <v>33</v>
      </c>
      <c r="T40" s="99"/>
      <c r="U40" s="99"/>
      <c r="V40" s="99"/>
      <c r="W40" s="99"/>
      <c r="X40" s="99"/>
      <c r="Y40" s="99"/>
      <c r="Z40" s="99"/>
      <c r="AA40" s="99"/>
    </row>
    <row r="41" spans="1:27" ht="15.75" customHeight="1">
      <c r="A41" s="98">
        <v>46182</v>
      </c>
      <c r="B41" s="99" t="s">
        <v>1019</v>
      </c>
      <c r="C41" s="99">
        <v>9159637566</v>
      </c>
      <c r="D41" s="99" t="s">
        <v>1020</v>
      </c>
      <c r="E41" s="17" t="s">
        <v>86</v>
      </c>
      <c r="F41" s="99" t="s">
        <v>33</v>
      </c>
      <c r="G41" s="99" t="s">
        <v>33</v>
      </c>
      <c r="H41" s="99" t="s">
        <v>33</v>
      </c>
      <c r="I41" s="74" t="s">
        <v>67</v>
      </c>
      <c r="J41" s="99" t="s">
        <v>33</v>
      </c>
      <c r="K41" s="40" t="s">
        <v>67</v>
      </c>
      <c r="L41" s="99" t="s">
        <v>33</v>
      </c>
      <c r="M41" s="99" t="s">
        <v>33</v>
      </c>
      <c r="N41" s="49" t="s">
        <v>33</v>
      </c>
      <c r="O41" s="49" t="s">
        <v>33</v>
      </c>
      <c r="P41" s="99" t="s">
        <v>671</v>
      </c>
      <c r="Q41" s="99" t="s">
        <v>1021</v>
      </c>
      <c r="R41" s="99" t="s">
        <v>1022</v>
      </c>
      <c r="S41" s="49" t="s">
        <v>40</v>
      </c>
      <c r="T41" s="99" t="s">
        <v>33</v>
      </c>
      <c r="U41" s="99"/>
      <c r="V41" s="99"/>
      <c r="W41" s="99"/>
      <c r="X41" s="99"/>
      <c r="Y41" s="99"/>
      <c r="Z41" s="99"/>
      <c r="AA41" s="99"/>
    </row>
    <row r="42" spans="1:27" ht="15.75" customHeight="1">
      <c r="A42" s="98">
        <v>46183</v>
      </c>
      <c r="B42" s="99" t="s">
        <v>1023</v>
      </c>
      <c r="C42" s="99">
        <v>81809594</v>
      </c>
      <c r="D42" s="99" t="s">
        <v>1024</v>
      </c>
      <c r="E42" s="17" t="s">
        <v>1025</v>
      </c>
      <c r="F42" s="99" t="s">
        <v>33</v>
      </c>
      <c r="G42" s="99" t="s">
        <v>33</v>
      </c>
      <c r="H42" s="99"/>
      <c r="I42" s="74"/>
      <c r="J42" s="99"/>
      <c r="K42" s="99"/>
      <c r="L42" s="99" t="s">
        <v>37</v>
      </c>
      <c r="M42" s="99" t="s">
        <v>33</v>
      </c>
      <c r="N42" s="49" t="s">
        <v>33</v>
      </c>
      <c r="O42" s="49" t="s">
        <v>33</v>
      </c>
      <c r="P42" s="99"/>
      <c r="Q42" s="99"/>
      <c r="R42" s="99" t="s">
        <v>1026</v>
      </c>
      <c r="S42" s="99" t="s">
        <v>33</v>
      </c>
      <c r="T42" s="99"/>
      <c r="U42" s="99"/>
      <c r="V42" s="99"/>
      <c r="W42" s="99"/>
      <c r="X42" s="99"/>
      <c r="Y42" s="99"/>
      <c r="Z42" s="99"/>
      <c r="AA42" s="99"/>
    </row>
    <row r="43" spans="1:27" ht="15.75" customHeight="1">
      <c r="A43" s="98">
        <v>46183</v>
      </c>
      <c r="B43" s="99" t="s">
        <v>1014</v>
      </c>
      <c r="C43" s="99">
        <v>8870581650</v>
      </c>
      <c r="D43" s="99" t="s">
        <v>1015</v>
      </c>
      <c r="E43" s="17" t="s">
        <v>25</v>
      </c>
      <c r="F43" s="99" t="s">
        <v>62</v>
      </c>
      <c r="G43" s="99" t="s">
        <v>33</v>
      </c>
      <c r="H43" s="99" t="s">
        <v>33</v>
      </c>
      <c r="I43" s="74" t="s">
        <v>1016</v>
      </c>
      <c r="J43" s="99" t="s">
        <v>33</v>
      </c>
      <c r="K43" s="99" t="s">
        <v>304</v>
      </c>
      <c r="L43" s="99" t="s">
        <v>33</v>
      </c>
      <c r="M43" s="99" t="s">
        <v>33</v>
      </c>
      <c r="N43" s="49" t="s">
        <v>33</v>
      </c>
      <c r="O43" s="49" t="s">
        <v>33</v>
      </c>
      <c r="P43" s="99" t="s">
        <v>92</v>
      </c>
      <c r="Q43" s="99" t="s">
        <v>1017</v>
      </c>
      <c r="R43" s="99" t="s">
        <v>1018</v>
      </c>
      <c r="S43" s="49" t="s">
        <v>40</v>
      </c>
      <c r="T43" s="99"/>
      <c r="U43" s="99"/>
      <c r="V43" s="99"/>
      <c r="W43" s="99"/>
      <c r="X43" s="99"/>
      <c r="Y43" s="99"/>
      <c r="Z43" s="99"/>
      <c r="AA43" s="99"/>
    </row>
    <row r="44" spans="1:27" ht="15.75" customHeight="1">
      <c r="A44" s="98">
        <v>46184</v>
      </c>
      <c r="B44" s="99" t="s">
        <v>1027</v>
      </c>
      <c r="C44" s="99">
        <v>8220374830</v>
      </c>
      <c r="D44" s="99" t="s">
        <v>1028</v>
      </c>
      <c r="E44" s="17" t="s">
        <v>48</v>
      </c>
      <c r="F44" s="99" t="s">
        <v>33</v>
      </c>
      <c r="G44" s="99" t="s">
        <v>33</v>
      </c>
      <c r="H44" s="99" t="s">
        <v>33</v>
      </c>
      <c r="I44" s="76" t="s">
        <v>1029</v>
      </c>
      <c r="J44" s="99" t="s">
        <v>33</v>
      </c>
      <c r="K44" s="40" t="s">
        <v>1030</v>
      </c>
      <c r="L44" s="99" t="s">
        <v>33</v>
      </c>
      <c r="M44" s="99" t="s">
        <v>33</v>
      </c>
      <c r="N44" s="49" t="s">
        <v>33</v>
      </c>
      <c r="O44" s="49" t="s">
        <v>33</v>
      </c>
      <c r="P44" s="99" t="s">
        <v>465</v>
      </c>
      <c r="Q44" s="39" t="s">
        <v>465</v>
      </c>
      <c r="R44" s="99" t="s">
        <v>1031</v>
      </c>
      <c r="S44" s="49" t="s">
        <v>40</v>
      </c>
      <c r="T44" s="99"/>
      <c r="U44" s="99"/>
      <c r="V44" s="99"/>
      <c r="W44" s="99"/>
      <c r="X44" s="99"/>
      <c r="Y44" s="99"/>
      <c r="Z44" s="99"/>
      <c r="AA44" s="99"/>
    </row>
    <row r="45" spans="1:27" ht="17.25" customHeight="1">
      <c r="A45" s="98">
        <v>46184</v>
      </c>
      <c r="B45" s="99" t="s">
        <v>1032</v>
      </c>
      <c r="C45" s="99">
        <v>9840269309</v>
      </c>
      <c r="D45" s="99" t="s">
        <v>1033</v>
      </c>
      <c r="E45" s="17" t="s">
        <v>48</v>
      </c>
      <c r="F45" s="99" t="s">
        <v>33</v>
      </c>
      <c r="G45" s="99" t="s">
        <v>33</v>
      </c>
      <c r="H45" s="99" t="s">
        <v>33</v>
      </c>
      <c r="I45" s="74" t="s">
        <v>482</v>
      </c>
      <c r="J45" s="99" t="s">
        <v>33</v>
      </c>
      <c r="K45" s="99" t="s">
        <v>304</v>
      </c>
      <c r="L45" s="99" t="s">
        <v>33</v>
      </c>
      <c r="M45" s="99" t="s">
        <v>33</v>
      </c>
      <c r="N45" s="49" t="s">
        <v>33</v>
      </c>
      <c r="O45" s="49" t="s">
        <v>33</v>
      </c>
      <c r="P45" s="99" t="s">
        <v>1034</v>
      </c>
      <c r="Q45" s="54" t="s">
        <v>1035</v>
      </c>
      <c r="R45" s="99" t="s">
        <v>1036</v>
      </c>
      <c r="S45" s="99" t="s">
        <v>33</v>
      </c>
      <c r="T45" s="99"/>
      <c r="U45" s="99"/>
      <c r="V45" s="99"/>
      <c r="W45" s="99"/>
      <c r="X45" s="99"/>
      <c r="Y45" s="99"/>
      <c r="Z45" s="99"/>
      <c r="AA45" s="99"/>
    </row>
    <row r="46" spans="1:27" ht="15.75" customHeight="1">
      <c r="A46" s="98">
        <v>46184</v>
      </c>
      <c r="B46" s="99" t="s">
        <v>186</v>
      </c>
      <c r="C46" s="99">
        <v>9884329942</v>
      </c>
      <c r="D46" s="99" t="s">
        <v>187</v>
      </c>
      <c r="E46" s="17" t="s">
        <v>1037</v>
      </c>
      <c r="F46" s="99" t="s">
        <v>33</v>
      </c>
      <c r="G46" s="99" t="s">
        <v>33</v>
      </c>
      <c r="H46" s="99" t="s">
        <v>33</v>
      </c>
      <c r="I46" s="77" t="s">
        <v>188</v>
      </c>
      <c r="J46" s="99"/>
      <c r="K46" s="99"/>
      <c r="L46" s="99" t="s">
        <v>33</v>
      </c>
      <c r="M46" s="99" t="s">
        <v>33</v>
      </c>
      <c r="N46" s="49" t="s">
        <v>33</v>
      </c>
      <c r="O46" s="49" t="s">
        <v>33</v>
      </c>
      <c r="P46" s="99" t="s">
        <v>948</v>
      </c>
      <c r="Q46" s="99" t="s">
        <v>949</v>
      </c>
      <c r="R46" s="99" t="s">
        <v>950</v>
      </c>
      <c r="S46" s="50" t="s">
        <v>40</v>
      </c>
      <c r="T46" s="99"/>
      <c r="U46" s="99"/>
      <c r="V46" s="99"/>
      <c r="W46" s="99" t="s">
        <v>33</v>
      </c>
      <c r="X46" s="99"/>
      <c r="Y46" s="99"/>
      <c r="Z46" s="99"/>
      <c r="AA46" s="99" t="s">
        <v>33</v>
      </c>
    </row>
    <row r="47" spans="1:27" ht="15.75" customHeight="1">
      <c r="A47" s="98">
        <v>46184</v>
      </c>
      <c r="B47" s="99" t="s">
        <v>281</v>
      </c>
      <c r="C47" s="99">
        <v>9884668490</v>
      </c>
      <c r="D47" s="99" t="s">
        <v>282</v>
      </c>
      <c r="E47" s="17" t="s">
        <v>48</v>
      </c>
      <c r="F47" s="99" t="s">
        <v>62</v>
      </c>
      <c r="G47" s="99" t="s">
        <v>33</v>
      </c>
      <c r="H47" s="99" t="s">
        <v>33</v>
      </c>
      <c r="I47" s="75" t="s">
        <v>1011</v>
      </c>
      <c r="J47" s="99" t="s">
        <v>33</v>
      </c>
      <c r="K47" s="40" t="s">
        <v>1011</v>
      </c>
      <c r="L47" s="99" t="s">
        <v>33</v>
      </c>
      <c r="M47" s="99" t="s">
        <v>33</v>
      </c>
      <c r="N47" s="49" t="s">
        <v>33</v>
      </c>
      <c r="O47" s="49" t="s">
        <v>33</v>
      </c>
      <c r="P47" s="99" t="s">
        <v>885</v>
      </c>
      <c r="Q47" s="99" t="s">
        <v>1038</v>
      </c>
      <c r="R47" s="99" t="s">
        <v>283</v>
      </c>
      <c r="S47" s="49" t="s">
        <v>40</v>
      </c>
      <c r="T47" s="99"/>
      <c r="U47" s="99"/>
      <c r="V47" s="99"/>
      <c r="W47" s="99"/>
      <c r="X47" s="99"/>
      <c r="Y47" s="99"/>
      <c r="Z47" s="99"/>
      <c r="AA47" s="99"/>
    </row>
    <row r="48" spans="1:27" ht="15.75" customHeight="1">
      <c r="A48" s="98">
        <v>46185</v>
      </c>
      <c r="B48" s="99" t="s">
        <v>1039</v>
      </c>
      <c r="C48" s="99">
        <v>8885804410</v>
      </c>
      <c r="D48" s="99" t="s">
        <v>1040</v>
      </c>
      <c r="E48" s="17" t="s">
        <v>25</v>
      </c>
      <c r="F48" s="99" t="s">
        <v>33</v>
      </c>
      <c r="G48" s="60" t="s">
        <v>37</v>
      </c>
      <c r="H48" s="99" t="s">
        <v>33</v>
      </c>
      <c r="I48" s="74" t="s">
        <v>1041</v>
      </c>
      <c r="J48" s="99" t="s">
        <v>33</v>
      </c>
      <c r="K48" s="40" t="s">
        <v>1042</v>
      </c>
      <c r="L48" s="99" t="s">
        <v>33</v>
      </c>
      <c r="M48" s="99" t="s">
        <v>33</v>
      </c>
      <c r="N48" s="49" t="s">
        <v>33</v>
      </c>
      <c r="O48" s="49" t="s">
        <v>33</v>
      </c>
      <c r="P48" s="99" t="s">
        <v>211</v>
      </c>
      <c r="Q48" s="99" t="s">
        <v>1043</v>
      </c>
      <c r="R48" s="99"/>
      <c r="S48" s="50" t="s">
        <v>40</v>
      </c>
      <c r="T48" s="99"/>
      <c r="U48" s="99"/>
      <c r="V48" s="99"/>
      <c r="W48" s="99"/>
      <c r="X48" s="99"/>
      <c r="Y48" s="99"/>
      <c r="Z48" s="99"/>
      <c r="AA48" s="99"/>
    </row>
    <row r="49" spans="1:27" ht="15.75" customHeight="1">
      <c r="A49" s="98">
        <v>46185</v>
      </c>
      <c r="B49" s="99" t="s">
        <v>1044</v>
      </c>
      <c r="C49" s="99">
        <v>7358460353</v>
      </c>
      <c r="D49" s="99" t="s">
        <v>1045</v>
      </c>
      <c r="E49" s="17" t="s">
        <v>25</v>
      </c>
      <c r="F49" s="99" t="s">
        <v>33</v>
      </c>
      <c r="G49" s="99" t="s">
        <v>33</v>
      </c>
      <c r="H49" s="99" t="s">
        <v>33</v>
      </c>
      <c r="I49" s="74" t="s">
        <v>1046</v>
      </c>
      <c r="J49" s="99" t="s">
        <v>33</v>
      </c>
      <c r="K49" s="40" t="s">
        <v>1047</v>
      </c>
      <c r="L49" s="99" t="s">
        <v>33</v>
      </c>
      <c r="M49" s="99" t="s">
        <v>33</v>
      </c>
      <c r="N49" s="49" t="s">
        <v>33</v>
      </c>
      <c r="O49" s="49" t="s">
        <v>33</v>
      </c>
      <c r="P49" s="99" t="s">
        <v>1048</v>
      </c>
      <c r="Q49" s="99" t="s">
        <v>1049</v>
      </c>
      <c r="R49" s="99" t="s">
        <v>1050</v>
      </c>
      <c r="S49" s="99" t="s">
        <v>33</v>
      </c>
      <c r="T49" s="99"/>
      <c r="U49" s="99"/>
      <c r="V49" s="99"/>
      <c r="W49" s="99"/>
      <c r="X49" s="99"/>
      <c r="Y49" s="99"/>
      <c r="Z49" s="99"/>
      <c r="AA49" s="99"/>
    </row>
    <row r="50" spans="1:27" ht="15.75" customHeight="1">
      <c r="A50" s="98">
        <v>46185</v>
      </c>
      <c r="B50" s="99" t="s">
        <v>30</v>
      </c>
      <c r="C50" s="99">
        <v>8105047843</v>
      </c>
      <c r="D50" s="99" t="s">
        <v>1051</v>
      </c>
      <c r="E50" s="17" t="s">
        <v>43</v>
      </c>
      <c r="F50" s="99" t="s">
        <v>33</v>
      </c>
      <c r="G50" s="60" t="s">
        <v>37</v>
      </c>
      <c r="H50" s="99" t="s">
        <v>33</v>
      </c>
      <c r="I50" s="77" t="s">
        <v>35</v>
      </c>
      <c r="J50" s="20" t="s">
        <v>33</v>
      </c>
      <c r="K50" s="99" t="s">
        <v>304</v>
      </c>
      <c r="L50" s="99" t="s">
        <v>33</v>
      </c>
      <c r="M50" s="99" t="s">
        <v>33</v>
      </c>
      <c r="N50" s="49" t="s">
        <v>33</v>
      </c>
      <c r="O50" s="49" t="s">
        <v>33</v>
      </c>
      <c r="P50" s="99" t="s">
        <v>511</v>
      </c>
      <c r="Q50" s="20" t="s">
        <v>38</v>
      </c>
      <c r="R50" s="20" t="s">
        <v>201</v>
      </c>
      <c r="S50" s="50" t="s">
        <v>40</v>
      </c>
      <c r="T50" s="99"/>
      <c r="U50" s="99"/>
      <c r="V50" s="99"/>
      <c r="W50" s="99"/>
      <c r="X50" s="99"/>
      <c r="Y50" s="99"/>
      <c r="Z50" s="99"/>
      <c r="AA50" s="99"/>
    </row>
    <row r="51" spans="1:27" ht="17.25" customHeight="1">
      <c r="A51" s="98">
        <v>46188</v>
      </c>
      <c r="B51" s="99" t="s">
        <v>1052</v>
      </c>
      <c r="C51" s="99">
        <v>9629765650</v>
      </c>
      <c r="D51" s="99" t="s">
        <v>1053</v>
      </c>
      <c r="E51" s="17" t="s">
        <v>276</v>
      </c>
      <c r="F51" s="99" t="s">
        <v>33</v>
      </c>
      <c r="G51" s="99" t="s">
        <v>33</v>
      </c>
      <c r="H51" s="99"/>
      <c r="I51" s="77"/>
      <c r="J51" s="20"/>
      <c r="K51" s="99"/>
      <c r="L51" s="99" t="s">
        <v>33</v>
      </c>
      <c r="M51" s="99" t="s">
        <v>33</v>
      </c>
      <c r="N51" s="49" t="s">
        <v>33</v>
      </c>
      <c r="O51" s="49" t="s">
        <v>33</v>
      </c>
      <c r="P51" s="99" t="s">
        <v>205</v>
      </c>
      <c r="Q51" s="53" t="s">
        <v>1054</v>
      </c>
      <c r="R51" s="99" t="s">
        <v>1055</v>
      </c>
      <c r="S51" s="49" t="s">
        <v>40</v>
      </c>
      <c r="T51" s="99" t="s">
        <v>33</v>
      </c>
      <c r="U51" s="99" t="s">
        <v>33</v>
      </c>
      <c r="V51" s="99" t="s">
        <v>33</v>
      </c>
      <c r="W51" s="99"/>
      <c r="X51" s="99"/>
      <c r="Y51" s="99"/>
      <c r="Z51" s="99"/>
      <c r="AA51" s="99" t="s">
        <v>33</v>
      </c>
    </row>
    <row r="52" spans="1:27" ht="15.75" customHeight="1">
      <c r="A52" s="98">
        <v>46188</v>
      </c>
      <c r="B52" s="99" t="s">
        <v>1056</v>
      </c>
      <c r="C52" s="99">
        <v>7904869323</v>
      </c>
      <c r="D52" s="99" t="s">
        <v>1057</v>
      </c>
      <c r="E52" s="17" t="s">
        <v>86</v>
      </c>
      <c r="F52" s="99" t="s">
        <v>33</v>
      </c>
      <c r="G52" s="99" t="s">
        <v>33</v>
      </c>
      <c r="H52" s="99" t="s">
        <v>33</v>
      </c>
      <c r="I52" s="77" t="s">
        <v>1058</v>
      </c>
      <c r="J52" s="20"/>
      <c r="K52" s="99"/>
      <c r="L52" s="99" t="s">
        <v>33</v>
      </c>
      <c r="M52" s="99" t="s">
        <v>33</v>
      </c>
      <c r="N52" s="49" t="s">
        <v>33</v>
      </c>
      <c r="O52" s="49" t="s">
        <v>33</v>
      </c>
      <c r="P52" s="99" t="s">
        <v>899</v>
      </c>
      <c r="Q52" s="99" t="s">
        <v>1059</v>
      </c>
      <c r="R52" s="99" t="s">
        <v>1060</v>
      </c>
      <c r="S52" s="50" t="s">
        <v>40</v>
      </c>
      <c r="T52" s="99" t="s">
        <v>33</v>
      </c>
      <c r="U52" s="99" t="s">
        <v>33</v>
      </c>
      <c r="V52" s="99"/>
      <c r="W52" s="99"/>
      <c r="X52" s="99"/>
      <c r="Y52" s="99"/>
      <c r="Z52" s="99" t="s">
        <v>33</v>
      </c>
      <c r="AA52" s="99" t="s">
        <v>33</v>
      </c>
    </row>
    <row r="53" spans="1:27" ht="15.75" customHeight="1">
      <c r="A53" s="98">
        <v>46188</v>
      </c>
      <c r="B53" s="99" t="s">
        <v>849</v>
      </c>
      <c r="C53" s="99">
        <v>9092757728</v>
      </c>
      <c r="D53" s="99" t="s">
        <v>705</v>
      </c>
      <c r="E53" s="17" t="s">
        <v>86</v>
      </c>
      <c r="F53" s="99" t="s">
        <v>33</v>
      </c>
      <c r="G53" s="99" t="s">
        <v>33</v>
      </c>
      <c r="H53" s="20" t="s">
        <v>33</v>
      </c>
      <c r="I53" s="77" t="s">
        <v>706</v>
      </c>
      <c r="J53" s="20"/>
      <c r="K53" s="20"/>
      <c r="L53" s="99" t="s">
        <v>33</v>
      </c>
      <c r="M53" s="99" t="s">
        <v>33</v>
      </c>
      <c r="N53" s="49" t="s">
        <v>33</v>
      </c>
      <c r="O53" s="49" t="s">
        <v>33</v>
      </c>
      <c r="P53" s="99" t="s">
        <v>708</v>
      </c>
      <c r="Q53" s="99" t="s">
        <v>709</v>
      </c>
      <c r="R53" s="99" t="s">
        <v>1061</v>
      </c>
      <c r="S53" s="99" t="s">
        <v>33</v>
      </c>
      <c r="T53" s="99"/>
      <c r="U53" s="99"/>
      <c r="V53" s="99"/>
      <c r="W53" s="99"/>
      <c r="X53" s="99"/>
      <c r="Y53" s="99"/>
      <c r="Z53" s="99"/>
      <c r="AA53" s="99"/>
    </row>
    <row r="54" spans="1:27" ht="15.75" customHeight="1">
      <c r="A54" s="98">
        <v>46189</v>
      </c>
      <c r="B54" s="99" t="s">
        <v>1062</v>
      </c>
      <c r="C54" s="99">
        <v>8678989393</v>
      </c>
      <c r="D54" s="99" t="s">
        <v>1063</v>
      </c>
      <c r="E54" s="17" t="s">
        <v>48</v>
      </c>
      <c r="F54" s="99" t="s">
        <v>33</v>
      </c>
      <c r="G54" s="99" t="s">
        <v>33</v>
      </c>
      <c r="H54" s="99" t="s">
        <v>33</v>
      </c>
      <c r="I54" s="77" t="s">
        <v>1064</v>
      </c>
      <c r="J54" s="20" t="s">
        <v>33</v>
      </c>
      <c r="K54" s="20" t="s">
        <v>304</v>
      </c>
      <c r="L54" s="99" t="s">
        <v>33</v>
      </c>
      <c r="M54" s="99" t="s">
        <v>33</v>
      </c>
      <c r="N54" s="49" t="s">
        <v>33</v>
      </c>
      <c r="O54" s="49" t="s">
        <v>33</v>
      </c>
      <c r="P54" s="99" t="s">
        <v>205</v>
      </c>
      <c r="Q54" s="99" t="s">
        <v>1065</v>
      </c>
      <c r="R54" s="99" t="s">
        <v>1066</v>
      </c>
      <c r="S54" s="99" t="s">
        <v>33</v>
      </c>
      <c r="T54" s="99"/>
      <c r="U54" s="99"/>
      <c r="V54" s="99"/>
      <c r="W54" s="99"/>
      <c r="X54" s="99"/>
      <c r="Y54" s="99"/>
      <c r="Z54" s="99"/>
      <c r="AA54" s="99"/>
    </row>
    <row r="55" spans="1:27" ht="15.75" customHeight="1">
      <c r="A55" s="98">
        <v>46189</v>
      </c>
      <c r="B55" s="99" t="s">
        <v>1067</v>
      </c>
      <c r="C55" s="99">
        <v>9789689312</v>
      </c>
      <c r="D55" s="99" t="s">
        <v>1068</v>
      </c>
      <c r="E55" s="17" t="s">
        <v>86</v>
      </c>
      <c r="F55" s="99" t="s">
        <v>33</v>
      </c>
      <c r="G55" s="99" t="s">
        <v>33</v>
      </c>
      <c r="H55" s="99" t="s">
        <v>33</v>
      </c>
      <c r="I55" s="77" t="s">
        <v>1069</v>
      </c>
      <c r="J55" s="20" t="s">
        <v>33</v>
      </c>
      <c r="K55" s="20" t="s">
        <v>1070</v>
      </c>
      <c r="L55" s="99" t="s">
        <v>33</v>
      </c>
      <c r="M55" s="99" t="s">
        <v>33</v>
      </c>
      <c r="N55" s="49" t="s">
        <v>33</v>
      </c>
      <c r="O55" s="49" t="s">
        <v>33</v>
      </c>
      <c r="P55" s="99" t="s">
        <v>367</v>
      </c>
      <c r="Q55" s="99" t="s">
        <v>1071</v>
      </c>
      <c r="R55" s="99" t="s">
        <v>1072</v>
      </c>
      <c r="S55" s="50" t="s">
        <v>40</v>
      </c>
      <c r="T55" s="99"/>
      <c r="U55" s="99"/>
      <c r="V55" s="99"/>
      <c r="W55" s="99"/>
      <c r="X55" s="99"/>
      <c r="Y55" s="99"/>
      <c r="Z55" s="99"/>
      <c r="AA55" s="99"/>
    </row>
    <row r="56" spans="1:27" ht="17.25" customHeight="1">
      <c r="A56" s="98">
        <v>46190</v>
      </c>
      <c r="B56" s="99" t="s">
        <v>1073</v>
      </c>
      <c r="C56" s="99">
        <v>7525883021</v>
      </c>
      <c r="D56" s="99" t="s">
        <v>1074</v>
      </c>
      <c r="E56" s="17" t="s">
        <v>25</v>
      </c>
      <c r="F56" s="99" t="s">
        <v>33</v>
      </c>
      <c r="G56" s="60" t="s">
        <v>37</v>
      </c>
      <c r="H56" s="99"/>
      <c r="I56" s="77"/>
      <c r="J56" s="20"/>
      <c r="K56" s="20"/>
      <c r="L56" s="99" t="s">
        <v>33</v>
      </c>
      <c r="M56" s="99" t="s">
        <v>33</v>
      </c>
      <c r="N56" s="49" t="s">
        <v>33</v>
      </c>
      <c r="O56" s="49" t="s">
        <v>33</v>
      </c>
      <c r="P56" s="53" t="s">
        <v>1075</v>
      </c>
      <c r="Q56" s="53" t="s">
        <v>1076</v>
      </c>
      <c r="R56" s="99" t="s">
        <v>1077</v>
      </c>
      <c r="S56" s="49" t="s">
        <v>40</v>
      </c>
      <c r="T56" s="99"/>
      <c r="U56" s="99"/>
      <c r="V56" s="99"/>
      <c r="W56" s="99"/>
      <c r="X56" s="99"/>
      <c r="Y56" s="99"/>
      <c r="Z56" s="99"/>
      <c r="AA56" s="99"/>
    </row>
    <row r="57" spans="1:27" ht="15.75" customHeight="1">
      <c r="A57" s="98">
        <v>46190</v>
      </c>
      <c r="B57" s="99" t="s">
        <v>1078</v>
      </c>
      <c r="C57" s="99">
        <v>7358497499</v>
      </c>
      <c r="D57" s="99" t="s">
        <v>1079</v>
      </c>
      <c r="E57" s="17" t="s">
        <v>48</v>
      </c>
      <c r="F57" s="99" t="s">
        <v>62</v>
      </c>
      <c r="G57" s="60" t="s">
        <v>37</v>
      </c>
      <c r="H57" s="99" t="s">
        <v>33</v>
      </c>
      <c r="I57" s="77" t="s">
        <v>1080</v>
      </c>
      <c r="J57" s="20" t="s">
        <v>33</v>
      </c>
      <c r="K57" s="20" t="s">
        <v>304</v>
      </c>
      <c r="L57" s="20" t="s">
        <v>33</v>
      </c>
      <c r="M57" s="99" t="s">
        <v>33</v>
      </c>
      <c r="N57" s="49" t="s">
        <v>33</v>
      </c>
      <c r="O57" s="49" t="s">
        <v>33</v>
      </c>
      <c r="P57" s="99" t="s">
        <v>1081</v>
      </c>
      <c r="Q57" s="99" t="s">
        <v>1081</v>
      </c>
      <c r="R57" s="99" t="s">
        <v>1082</v>
      </c>
      <c r="S57" s="50" t="s">
        <v>40</v>
      </c>
      <c r="T57" s="99"/>
      <c r="U57" s="99"/>
      <c r="V57" s="99"/>
      <c r="W57" s="99"/>
      <c r="X57" s="99"/>
      <c r="Y57" s="99"/>
      <c r="Z57" s="99"/>
      <c r="AA57" s="99"/>
    </row>
    <row r="58" spans="1:27" ht="15.75" customHeight="1">
      <c r="A58" s="98">
        <v>46190</v>
      </c>
      <c r="B58" s="99" t="s">
        <v>186</v>
      </c>
      <c r="C58" s="99">
        <v>9884329942</v>
      </c>
      <c r="D58" s="99" t="s">
        <v>187</v>
      </c>
      <c r="E58" s="17" t="s">
        <v>1037</v>
      </c>
      <c r="F58" s="99" t="s">
        <v>62</v>
      </c>
      <c r="G58" s="99" t="s">
        <v>33</v>
      </c>
      <c r="H58" s="99" t="s">
        <v>33</v>
      </c>
      <c r="I58" s="77" t="s">
        <v>188</v>
      </c>
      <c r="J58" s="20"/>
      <c r="K58" s="20"/>
      <c r="L58" s="20" t="s">
        <v>33</v>
      </c>
      <c r="M58" s="99" t="s">
        <v>33</v>
      </c>
      <c r="N58" s="49" t="s">
        <v>33</v>
      </c>
      <c r="O58" s="49" t="s">
        <v>33</v>
      </c>
      <c r="P58" s="99" t="s">
        <v>948</v>
      </c>
      <c r="Q58" s="99" t="s">
        <v>949</v>
      </c>
      <c r="R58" s="99" t="s">
        <v>950</v>
      </c>
      <c r="S58" s="50" t="s">
        <v>40</v>
      </c>
      <c r="T58" s="99"/>
      <c r="U58" s="99"/>
      <c r="V58" s="99"/>
      <c r="W58" s="99" t="s">
        <v>33</v>
      </c>
      <c r="X58" s="99"/>
      <c r="Y58" s="99"/>
      <c r="Z58" s="99"/>
      <c r="AA58" s="99" t="s">
        <v>33</v>
      </c>
    </row>
    <row r="59" spans="1:27" ht="15.75" customHeight="1">
      <c r="A59" s="98">
        <v>46191</v>
      </c>
      <c r="B59" s="99" t="s">
        <v>1044</v>
      </c>
      <c r="C59" s="99">
        <v>7358460353</v>
      </c>
      <c r="D59" s="99" t="s">
        <v>1045</v>
      </c>
      <c r="E59" s="17" t="s">
        <v>25</v>
      </c>
      <c r="F59" s="99" t="s">
        <v>62</v>
      </c>
      <c r="G59" s="99" t="s">
        <v>33</v>
      </c>
      <c r="H59" s="99" t="s">
        <v>33</v>
      </c>
      <c r="I59" s="77" t="s">
        <v>1046</v>
      </c>
      <c r="J59" s="20" t="s">
        <v>33</v>
      </c>
      <c r="K59" s="20" t="s">
        <v>1047</v>
      </c>
      <c r="L59" s="20" t="s">
        <v>33</v>
      </c>
      <c r="M59" s="99" t="s">
        <v>33</v>
      </c>
      <c r="N59" s="49" t="s">
        <v>33</v>
      </c>
      <c r="O59" s="49" t="s">
        <v>33</v>
      </c>
      <c r="P59" s="99" t="s">
        <v>1048</v>
      </c>
      <c r="Q59" s="99" t="s">
        <v>1049</v>
      </c>
      <c r="R59" s="99" t="s">
        <v>1050</v>
      </c>
      <c r="S59" s="99" t="s">
        <v>33</v>
      </c>
      <c r="T59" s="99"/>
      <c r="U59" s="99"/>
      <c r="V59" s="99"/>
      <c r="W59" s="99"/>
      <c r="X59" s="99"/>
      <c r="Y59" s="99"/>
      <c r="Z59" s="99"/>
      <c r="AA59" s="99"/>
    </row>
    <row r="60" spans="1:27" ht="15.75" customHeight="1">
      <c r="A60" s="98">
        <v>46191</v>
      </c>
      <c r="B60" s="99" t="s">
        <v>1083</v>
      </c>
      <c r="C60" s="99">
        <v>9841873624</v>
      </c>
      <c r="D60" s="99" t="s">
        <v>1084</v>
      </c>
      <c r="E60" s="17" t="s">
        <v>48</v>
      </c>
      <c r="F60" s="99" t="s">
        <v>33</v>
      </c>
      <c r="G60" s="99" t="s">
        <v>33</v>
      </c>
      <c r="H60" s="99" t="s">
        <v>33</v>
      </c>
      <c r="I60" s="77" t="s">
        <v>67</v>
      </c>
      <c r="J60" s="20" t="s">
        <v>33</v>
      </c>
      <c r="K60" s="20" t="s">
        <v>1085</v>
      </c>
      <c r="L60" s="20" t="s">
        <v>33</v>
      </c>
      <c r="M60" s="99" t="s">
        <v>33</v>
      </c>
      <c r="N60" s="49" t="s">
        <v>33</v>
      </c>
      <c r="O60" s="49" t="s">
        <v>33</v>
      </c>
      <c r="P60" s="99" t="s">
        <v>153</v>
      </c>
      <c r="Q60" s="99" t="s">
        <v>551</v>
      </c>
      <c r="R60" s="99" t="s">
        <v>1086</v>
      </c>
      <c r="S60" s="49" t="s">
        <v>40</v>
      </c>
      <c r="T60" s="99"/>
      <c r="U60" s="99"/>
      <c r="V60" s="99"/>
      <c r="W60" s="99"/>
      <c r="X60" s="99"/>
      <c r="Y60" s="99"/>
      <c r="Z60" s="99"/>
      <c r="AA60" s="99"/>
    </row>
    <row r="61" spans="1:27" ht="15.75" customHeight="1">
      <c r="A61" s="98">
        <v>46192</v>
      </c>
      <c r="B61" s="99" t="s">
        <v>1087</v>
      </c>
      <c r="C61" s="99">
        <v>7010407357</v>
      </c>
      <c r="D61" s="99" t="s">
        <v>1088</v>
      </c>
      <c r="E61" s="17" t="s">
        <v>48</v>
      </c>
      <c r="F61" s="99" t="s">
        <v>33</v>
      </c>
      <c r="G61" s="99" t="s">
        <v>33</v>
      </c>
      <c r="H61" s="99"/>
      <c r="I61" s="77"/>
      <c r="J61" s="20"/>
      <c r="K61" s="20"/>
      <c r="L61" s="20" t="s">
        <v>33</v>
      </c>
      <c r="M61" s="99" t="s">
        <v>33</v>
      </c>
      <c r="N61" s="49" t="s">
        <v>33</v>
      </c>
      <c r="O61" s="49" t="s">
        <v>33</v>
      </c>
      <c r="P61" s="99" t="s">
        <v>657</v>
      </c>
      <c r="Q61" s="99" t="s">
        <v>1089</v>
      </c>
      <c r="R61" s="99" t="s">
        <v>1090</v>
      </c>
      <c r="S61" s="99" t="s">
        <v>33</v>
      </c>
      <c r="T61" s="99"/>
      <c r="U61" s="99"/>
      <c r="V61" s="99"/>
      <c r="W61" s="99"/>
      <c r="X61" s="99"/>
      <c r="Y61" s="99"/>
      <c r="Z61" s="99" t="s">
        <v>33</v>
      </c>
      <c r="AA61" s="99"/>
    </row>
    <row r="62" spans="1:27" ht="15.75" customHeight="1">
      <c r="A62" s="98">
        <v>46192</v>
      </c>
      <c r="B62" s="99" t="s">
        <v>1091</v>
      </c>
      <c r="C62" s="99">
        <v>6302988404</v>
      </c>
      <c r="D62" s="99" t="s">
        <v>1092</v>
      </c>
      <c r="E62" s="17" t="s">
        <v>48</v>
      </c>
      <c r="F62" s="99" t="s">
        <v>62</v>
      </c>
      <c r="G62" s="99" t="s">
        <v>33</v>
      </c>
      <c r="H62" s="99" t="s">
        <v>33</v>
      </c>
      <c r="I62" s="77" t="s">
        <v>67</v>
      </c>
      <c r="J62" s="20"/>
      <c r="K62" s="20"/>
      <c r="L62" s="20" t="s">
        <v>33</v>
      </c>
      <c r="M62" s="99" t="s">
        <v>33</v>
      </c>
      <c r="N62" s="49" t="s">
        <v>33</v>
      </c>
      <c r="O62" s="49" t="s">
        <v>33</v>
      </c>
      <c r="P62" s="99" t="s">
        <v>1093</v>
      </c>
      <c r="Q62" s="99" t="s">
        <v>1094</v>
      </c>
      <c r="R62" s="99" t="s">
        <v>1095</v>
      </c>
      <c r="S62" s="99" t="s">
        <v>33</v>
      </c>
      <c r="T62" s="99"/>
      <c r="U62" s="99"/>
      <c r="V62" s="99"/>
      <c r="W62" s="99"/>
      <c r="X62" s="99"/>
      <c r="Y62" s="99"/>
      <c r="Z62" s="99"/>
      <c r="AA62" s="99"/>
    </row>
    <row r="63" spans="1:27" ht="15.75" customHeight="1">
      <c r="A63" s="98">
        <v>46195</v>
      </c>
      <c r="B63" s="99" t="s">
        <v>1096</v>
      </c>
      <c r="C63" s="99">
        <v>8012258746</v>
      </c>
      <c r="D63" s="99" t="s">
        <v>1097</v>
      </c>
      <c r="E63" s="17" t="s">
        <v>48</v>
      </c>
      <c r="F63" s="99" t="s">
        <v>33</v>
      </c>
      <c r="G63" s="99" t="s">
        <v>33</v>
      </c>
      <c r="H63" s="99"/>
      <c r="I63" s="74"/>
      <c r="J63" s="99"/>
      <c r="K63" s="99"/>
      <c r="L63" s="99" t="s">
        <v>33</v>
      </c>
      <c r="M63" s="99" t="s">
        <v>33</v>
      </c>
      <c r="N63" s="49" t="s">
        <v>33</v>
      </c>
      <c r="O63" s="49" t="s">
        <v>33</v>
      </c>
      <c r="P63" s="99" t="s">
        <v>847</v>
      </c>
      <c r="Q63" s="99" t="s">
        <v>1098</v>
      </c>
      <c r="R63" s="99" t="s">
        <v>1099</v>
      </c>
      <c r="S63" s="49" t="s">
        <v>40</v>
      </c>
      <c r="T63" s="99"/>
      <c r="U63" s="99"/>
      <c r="V63" s="99"/>
      <c r="W63" s="99"/>
      <c r="X63" s="99"/>
      <c r="Y63" s="99"/>
      <c r="Z63" s="99"/>
      <c r="AA63" s="99"/>
    </row>
    <row r="64" spans="1:27" ht="15.75" customHeight="1">
      <c r="A64" s="98">
        <v>46195</v>
      </c>
      <c r="B64" s="99" t="s">
        <v>1100</v>
      </c>
      <c r="C64" s="99">
        <v>8940722060</v>
      </c>
      <c r="D64" s="99" t="s">
        <v>1101</v>
      </c>
      <c r="E64" s="17" t="s">
        <v>86</v>
      </c>
      <c r="F64" s="99" t="s">
        <v>33</v>
      </c>
      <c r="G64" s="99" t="s">
        <v>33</v>
      </c>
      <c r="H64" s="99" t="s">
        <v>33</v>
      </c>
      <c r="I64" s="77" t="s">
        <v>1102</v>
      </c>
      <c r="J64" s="99"/>
      <c r="K64" s="99"/>
      <c r="L64" s="99" t="s">
        <v>33</v>
      </c>
      <c r="M64" s="99" t="s">
        <v>33</v>
      </c>
      <c r="N64" s="49" t="s">
        <v>33</v>
      </c>
      <c r="O64" s="49" t="s">
        <v>33</v>
      </c>
      <c r="P64" s="99" t="s">
        <v>1103</v>
      </c>
      <c r="Q64" s="99" t="s">
        <v>1021</v>
      </c>
      <c r="R64" s="99" t="s">
        <v>1104</v>
      </c>
      <c r="S64" s="99" t="s">
        <v>33</v>
      </c>
      <c r="T64" s="99" t="s">
        <v>33</v>
      </c>
      <c r="U64" s="99" t="s">
        <v>33</v>
      </c>
      <c r="V64" s="99"/>
      <c r="W64" s="99"/>
      <c r="X64" s="99"/>
      <c r="Y64" s="99"/>
      <c r="Z64" s="99"/>
      <c r="AA64" s="99"/>
    </row>
    <row r="65" spans="1:27" ht="15.75" customHeight="1">
      <c r="A65" s="98">
        <v>46195</v>
      </c>
      <c r="B65" s="99" t="s">
        <v>30</v>
      </c>
      <c r="C65" s="99">
        <v>8105047843</v>
      </c>
      <c r="D65" s="99" t="s">
        <v>31</v>
      </c>
      <c r="E65" s="17" t="s">
        <v>1105</v>
      </c>
      <c r="F65" s="99" t="s">
        <v>33</v>
      </c>
      <c r="G65" s="60" t="s">
        <v>37</v>
      </c>
      <c r="H65" s="99" t="s">
        <v>33</v>
      </c>
      <c r="I65" s="77" t="s">
        <v>35</v>
      </c>
      <c r="J65" s="99"/>
      <c r="K65" s="99" t="s">
        <v>304</v>
      </c>
      <c r="L65" s="99" t="s">
        <v>33</v>
      </c>
      <c r="M65" s="99" t="s">
        <v>33</v>
      </c>
      <c r="N65" s="49" t="s">
        <v>33</v>
      </c>
      <c r="O65" s="49" t="s">
        <v>33</v>
      </c>
      <c r="P65" s="99" t="s">
        <v>511</v>
      </c>
      <c r="Q65" s="99" t="s">
        <v>38</v>
      </c>
      <c r="R65" s="20" t="s">
        <v>201</v>
      </c>
      <c r="S65" s="99" t="s">
        <v>33</v>
      </c>
      <c r="T65" s="99"/>
      <c r="U65" s="99"/>
      <c r="V65" s="99"/>
      <c r="W65" s="99"/>
      <c r="X65" s="99"/>
      <c r="Y65" s="99"/>
      <c r="Z65" s="99"/>
      <c r="AA65" s="99"/>
    </row>
    <row r="66" spans="1:27" ht="17.25" customHeight="1">
      <c r="A66" s="98">
        <v>46196</v>
      </c>
      <c r="B66" s="99" t="s">
        <v>1106</v>
      </c>
      <c r="C66" s="99">
        <v>9566266690</v>
      </c>
      <c r="D66" s="99" t="s">
        <v>1107</v>
      </c>
      <c r="E66" s="17" t="s">
        <v>25</v>
      </c>
      <c r="F66" s="99" t="s">
        <v>33</v>
      </c>
      <c r="G66" s="60" t="s">
        <v>37</v>
      </c>
      <c r="H66" s="99"/>
      <c r="I66" s="74"/>
      <c r="J66" s="99"/>
      <c r="K66" s="99"/>
      <c r="L66" s="99" t="s">
        <v>33</v>
      </c>
      <c r="M66" s="99" t="s">
        <v>33</v>
      </c>
      <c r="N66" s="49" t="s">
        <v>33</v>
      </c>
      <c r="O66" s="49" t="s">
        <v>33</v>
      </c>
      <c r="P66" s="85" t="s">
        <v>1108</v>
      </c>
      <c r="Q66" s="85" t="s">
        <v>306</v>
      </c>
      <c r="R66" s="99" t="s">
        <v>1109</v>
      </c>
      <c r="S66" s="99" t="s">
        <v>33</v>
      </c>
      <c r="T66" s="99"/>
      <c r="U66" s="99"/>
      <c r="V66" s="99"/>
      <c r="W66" s="99"/>
      <c r="X66" s="99"/>
      <c r="Y66" s="99"/>
      <c r="Z66" s="99"/>
      <c r="AA66" s="99"/>
    </row>
    <row r="67" spans="1:27" ht="15.75" customHeight="1">
      <c r="A67" s="98">
        <v>46196</v>
      </c>
      <c r="B67" s="99" t="s">
        <v>1110</v>
      </c>
      <c r="C67" s="99">
        <v>7200712046</v>
      </c>
      <c r="D67" s="99" t="s">
        <v>1111</v>
      </c>
      <c r="E67" s="17" t="s">
        <v>48</v>
      </c>
      <c r="F67" s="99" t="s">
        <v>33</v>
      </c>
      <c r="G67" s="99" t="s">
        <v>33</v>
      </c>
      <c r="H67" s="99"/>
      <c r="I67" s="74"/>
      <c r="J67" s="99"/>
      <c r="K67" s="99"/>
      <c r="L67" s="99" t="s">
        <v>33</v>
      </c>
      <c r="M67" s="99" t="s">
        <v>33</v>
      </c>
      <c r="N67" s="49" t="s">
        <v>33</v>
      </c>
      <c r="O67" s="49" t="s">
        <v>33</v>
      </c>
      <c r="P67" s="99" t="s">
        <v>1112</v>
      </c>
      <c r="Q67" s="99" t="s">
        <v>238</v>
      </c>
      <c r="R67" s="99" t="s">
        <v>1113</v>
      </c>
      <c r="S67" s="49" t="s">
        <v>40</v>
      </c>
      <c r="T67" s="99"/>
      <c r="U67" s="99"/>
      <c r="V67" s="99"/>
      <c r="W67" s="99"/>
      <c r="X67" s="99"/>
      <c r="Y67" s="99"/>
      <c r="Z67" s="99"/>
      <c r="AA67" s="99"/>
    </row>
    <row r="68" spans="1:27" ht="17.25" customHeight="1">
      <c r="A68" s="98">
        <v>46198</v>
      </c>
      <c r="B68" s="99" t="s">
        <v>1114</v>
      </c>
      <c r="C68" s="99">
        <v>9788889324</v>
      </c>
      <c r="D68" s="99" t="s">
        <v>1115</v>
      </c>
      <c r="E68" s="17" t="s">
        <v>26</v>
      </c>
      <c r="F68" s="99" t="s">
        <v>33</v>
      </c>
      <c r="G68" s="99" t="s">
        <v>33</v>
      </c>
      <c r="H68" s="99"/>
      <c r="I68" s="74"/>
      <c r="J68" s="99"/>
      <c r="K68" s="99"/>
      <c r="L68" s="99" t="s">
        <v>33</v>
      </c>
      <c r="M68" s="99" t="s">
        <v>33</v>
      </c>
      <c r="N68" s="49" t="s">
        <v>33</v>
      </c>
      <c r="O68" s="49" t="s">
        <v>33</v>
      </c>
      <c r="P68" s="53" t="s">
        <v>1116</v>
      </c>
      <c r="Q68" s="53" t="s">
        <v>1117</v>
      </c>
      <c r="R68" s="99" t="s">
        <v>1118</v>
      </c>
      <c r="S68" s="49" t="s">
        <v>40</v>
      </c>
      <c r="T68" s="99"/>
      <c r="U68" s="99"/>
      <c r="V68" s="99"/>
      <c r="W68" s="99"/>
      <c r="X68" s="99" t="s">
        <v>33</v>
      </c>
      <c r="Y68" s="99"/>
      <c r="Z68" s="99"/>
      <c r="AA68" s="99"/>
    </row>
    <row r="69" spans="1:27" ht="15.75" customHeight="1">
      <c r="A69" s="98">
        <v>46198</v>
      </c>
      <c r="B69" s="99" t="s">
        <v>30</v>
      </c>
      <c r="C69" s="99">
        <v>8105047843</v>
      </c>
      <c r="D69" s="99" t="s">
        <v>31</v>
      </c>
      <c r="E69" s="17" t="s">
        <v>1105</v>
      </c>
      <c r="F69" s="99" t="s">
        <v>62</v>
      </c>
      <c r="G69" s="60" t="s">
        <v>37</v>
      </c>
      <c r="H69" s="99" t="s">
        <v>33</v>
      </c>
      <c r="I69" s="77" t="s">
        <v>35</v>
      </c>
      <c r="J69" s="20" t="s">
        <v>33</v>
      </c>
      <c r="K69" s="20" t="s">
        <v>304</v>
      </c>
      <c r="L69" s="99" t="s">
        <v>33</v>
      </c>
      <c r="M69" s="99" t="s">
        <v>33</v>
      </c>
      <c r="N69" s="49" t="s">
        <v>33</v>
      </c>
      <c r="O69" s="49" t="s">
        <v>33</v>
      </c>
      <c r="P69" s="99" t="s">
        <v>511</v>
      </c>
      <c r="Q69" s="99" t="s">
        <v>38</v>
      </c>
      <c r="R69" s="20" t="s">
        <v>201</v>
      </c>
      <c r="S69" s="50" t="s">
        <v>40</v>
      </c>
      <c r="T69" s="99"/>
      <c r="U69" s="99"/>
      <c r="V69" s="99"/>
      <c r="W69" s="99"/>
      <c r="X69" s="99"/>
      <c r="Y69" s="99"/>
      <c r="Z69" s="99"/>
      <c r="AA69" s="99"/>
    </row>
    <row r="70" spans="1:27" ht="15.75" customHeight="1">
      <c r="A70" s="98">
        <v>46198</v>
      </c>
      <c r="B70" s="99" t="s">
        <v>1119</v>
      </c>
      <c r="C70" s="99">
        <v>8838299421</v>
      </c>
      <c r="D70" s="99" t="s">
        <v>1120</v>
      </c>
      <c r="E70" s="17" t="s">
        <v>86</v>
      </c>
      <c r="F70" s="99" t="s">
        <v>97</v>
      </c>
      <c r="G70" s="60" t="s">
        <v>37</v>
      </c>
      <c r="H70" s="99"/>
      <c r="I70" s="77"/>
      <c r="J70" s="20"/>
      <c r="K70" s="20"/>
      <c r="L70" s="99" t="s">
        <v>37</v>
      </c>
      <c r="M70" s="99" t="s">
        <v>33</v>
      </c>
      <c r="N70" s="99"/>
      <c r="O70" s="49" t="s">
        <v>33</v>
      </c>
      <c r="P70" s="99"/>
      <c r="Q70" s="99"/>
      <c r="R70" s="99" t="s">
        <v>1121</v>
      </c>
      <c r="S70" s="50" t="s">
        <v>40</v>
      </c>
      <c r="T70" s="99"/>
      <c r="U70" s="99"/>
      <c r="V70" s="99"/>
      <c r="W70" s="99"/>
      <c r="X70" s="99"/>
      <c r="Y70" s="99"/>
      <c r="Z70" s="99"/>
      <c r="AA70" s="99"/>
    </row>
    <row r="71" spans="1:27" ht="16.5" customHeight="1">
      <c r="A71" s="98">
        <v>46198</v>
      </c>
      <c r="B71" s="99" t="s">
        <v>1122</v>
      </c>
      <c r="C71" s="99">
        <v>8668044252</v>
      </c>
      <c r="D71" s="99" t="s">
        <v>1123</v>
      </c>
      <c r="E71" s="17" t="s">
        <v>26</v>
      </c>
      <c r="F71" s="99" t="s">
        <v>33</v>
      </c>
      <c r="G71" s="99" t="s">
        <v>33</v>
      </c>
      <c r="H71" s="99"/>
      <c r="I71" s="77"/>
      <c r="J71" s="20"/>
      <c r="K71" s="20"/>
      <c r="L71" s="99" t="s">
        <v>33</v>
      </c>
      <c r="M71" s="99" t="s">
        <v>33</v>
      </c>
      <c r="N71" s="49" t="s">
        <v>33</v>
      </c>
      <c r="O71" s="49" t="s">
        <v>33</v>
      </c>
      <c r="P71" s="59" t="s">
        <v>1124</v>
      </c>
      <c r="Q71" s="59" t="s">
        <v>1125</v>
      </c>
      <c r="R71" s="99" t="s">
        <v>1126</v>
      </c>
      <c r="S71" s="99" t="s">
        <v>33</v>
      </c>
      <c r="T71" s="99"/>
      <c r="U71" s="99"/>
      <c r="V71" s="99"/>
      <c r="W71" s="99"/>
      <c r="X71" s="99"/>
      <c r="Y71" s="99"/>
      <c r="Z71" s="99"/>
      <c r="AA71" s="99"/>
    </row>
    <row r="72" spans="1:27" ht="16.5" customHeight="1">
      <c r="A72" s="98">
        <v>46199</v>
      </c>
      <c r="B72" s="99" t="s">
        <v>1127</v>
      </c>
      <c r="C72" s="99">
        <v>9703716965</v>
      </c>
      <c r="D72" s="99" t="s">
        <v>1128</v>
      </c>
      <c r="E72" s="17" t="s">
        <v>48</v>
      </c>
      <c r="F72" s="99" t="s">
        <v>33</v>
      </c>
      <c r="G72" s="60" t="s">
        <v>37</v>
      </c>
      <c r="H72" s="99"/>
      <c r="I72" s="77"/>
      <c r="J72" s="20"/>
      <c r="K72" s="20"/>
      <c r="L72" s="99" t="s">
        <v>33</v>
      </c>
      <c r="M72" s="99" t="s">
        <v>33</v>
      </c>
      <c r="N72" s="49" t="s">
        <v>33</v>
      </c>
      <c r="O72" s="49" t="s">
        <v>33</v>
      </c>
      <c r="P72" s="59" t="s">
        <v>578</v>
      </c>
      <c r="Q72" s="59" t="s">
        <v>1129</v>
      </c>
      <c r="R72" s="99" t="s">
        <v>1130</v>
      </c>
      <c r="S72" s="50" t="s">
        <v>40</v>
      </c>
      <c r="T72" s="99"/>
      <c r="U72" s="99"/>
      <c r="V72" s="99"/>
      <c r="W72" s="99"/>
      <c r="X72" s="99"/>
      <c r="Y72" s="99"/>
      <c r="Z72" s="99"/>
      <c r="AA72" s="99"/>
    </row>
    <row r="73" spans="1:27" ht="16.5" customHeight="1">
      <c r="A73" s="98">
        <v>46199</v>
      </c>
      <c r="B73" s="99" t="s">
        <v>1131</v>
      </c>
      <c r="C73" s="99">
        <v>9600000569</v>
      </c>
      <c r="D73" s="99" t="s">
        <v>1132</v>
      </c>
      <c r="E73" s="17" t="s">
        <v>48</v>
      </c>
      <c r="F73" s="99" t="s">
        <v>33</v>
      </c>
      <c r="G73" s="99" t="s">
        <v>33</v>
      </c>
      <c r="H73" s="99"/>
      <c r="I73" s="77"/>
      <c r="J73" s="20"/>
      <c r="K73" s="20"/>
      <c r="L73" s="99" t="s">
        <v>33</v>
      </c>
      <c r="M73" s="99" t="s">
        <v>33</v>
      </c>
      <c r="N73" s="49" t="s">
        <v>33</v>
      </c>
      <c r="O73" s="49" t="s">
        <v>33</v>
      </c>
      <c r="P73" s="59" t="s">
        <v>1133</v>
      </c>
      <c r="Q73" s="59" t="s">
        <v>1134</v>
      </c>
      <c r="R73" s="99" t="s">
        <v>1135</v>
      </c>
      <c r="S73" s="99" t="s">
        <v>33</v>
      </c>
      <c r="T73" s="99"/>
      <c r="U73" s="99"/>
      <c r="V73" s="99"/>
      <c r="W73" s="99"/>
      <c r="X73" s="99"/>
      <c r="Y73" s="99"/>
      <c r="Z73" s="99"/>
      <c r="AA73" s="99"/>
    </row>
    <row r="74" spans="1:27" ht="16.5" customHeight="1">
      <c r="A74" s="98">
        <v>46199</v>
      </c>
      <c r="B74" s="99" t="s">
        <v>1136</v>
      </c>
      <c r="C74" s="99">
        <v>9626841247</v>
      </c>
      <c r="D74" s="99" t="s">
        <v>1137</v>
      </c>
      <c r="E74" s="17" t="s">
        <v>86</v>
      </c>
      <c r="F74" s="99" t="s">
        <v>97</v>
      </c>
      <c r="G74" s="60" t="s">
        <v>37</v>
      </c>
      <c r="H74" s="99"/>
      <c r="I74" s="77"/>
      <c r="J74" s="20"/>
      <c r="K74" s="20"/>
      <c r="L74" s="99" t="s">
        <v>33</v>
      </c>
      <c r="M74" s="99" t="s">
        <v>33</v>
      </c>
      <c r="N74" s="49" t="s">
        <v>33</v>
      </c>
      <c r="O74" s="49" t="s">
        <v>33</v>
      </c>
      <c r="P74" s="59" t="s">
        <v>205</v>
      </c>
      <c r="Q74" s="59" t="s">
        <v>1138</v>
      </c>
      <c r="R74" s="99" t="s">
        <v>1139</v>
      </c>
      <c r="S74" s="50" t="s">
        <v>40</v>
      </c>
      <c r="T74" s="99"/>
      <c r="U74" s="99"/>
      <c r="V74" s="99"/>
      <c r="W74" s="99"/>
      <c r="X74" s="99"/>
      <c r="Y74" s="99"/>
      <c r="Z74" s="99"/>
      <c r="AA74" s="99"/>
    </row>
    <row r="75" spans="1:27" ht="16.5" customHeight="1">
      <c r="A75" s="98">
        <v>46202</v>
      </c>
      <c r="B75" s="99" t="s">
        <v>1140</v>
      </c>
      <c r="C75" s="99">
        <v>9092611402</v>
      </c>
      <c r="D75" s="99" t="s">
        <v>1141</v>
      </c>
      <c r="E75" s="17" t="s">
        <v>48</v>
      </c>
      <c r="F75" s="99" t="s">
        <v>33</v>
      </c>
      <c r="G75" s="99" t="s">
        <v>33</v>
      </c>
      <c r="H75" s="99" t="s">
        <v>33</v>
      </c>
      <c r="I75" s="77" t="s">
        <v>67</v>
      </c>
      <c r="J75" s="20" t="s">
        <v>33</v>
      </c>
      <c r="K75" s="20" t="s">
        <v>304</v>
      </c>
      <c r="L75" s="99" t="s">
        <v>33</v>
      </c>
      <c r="M75" s="99" t="s">
        <v>33</v>
      </c>
      <c r="N75" s="49" t="s">
        <v>33</v>
      </c>
      <c r="O75" s="49" t="s">
        <v>33</v>
      </c>
      <c r="P75" s="59" t="s">
        <v>1048</v>
      </c>
      <c r="Q75" s="59" t="s">
        <v>861</v>
      </c>
      <c r="R75" s="99" t="s">
        <v>1142</v>
      </c>
      <c r="S75" s="99" t="s">
        <v>33</v>
      </c>
      <c r="T75" s="99"/>
      <c r="U75" s="99"/>
      <c r="V75" s="99"/>
      <c r="W75" s="99"/>
      <c r="X75" s="99"/>
      <c r="Y75" s="99"/>
      <c r="Z75" s="99"/>
      <c r="AA75" s="99"/>
    </row>
    <row r="76" spans="1:27" ht="16.5" customHeight="1">
      <c r="A76" s="98">
        <v>46202</v>
      </c>
      <c r="B76" s="99" t="s">
        <v>581</v>
      </c>
      <c r="C76" s="99">
        <v>9941487597</v>
      </c>
      <c r="D76" s="99" t="s">
        <v>582</v>
      </c>
      <c r="E76" s="17" t="s">
        <v>86</v>
      </c>
      <c r="F76" s="99" t="s">
        <v>33</v>
      </c>
      <c r="G76" s="99" t="s">
        <v>33</v>
      </c>
      <c r="H76" s="20" t="s">
        <v>33</v>
      </c>
      <c r="I76" s="77" t="s">
        <v>67</v>
      </c>
      <c r="J76" s="20" t="s">
        <v>33</v>
      </c>
      <c r="K76" s="20" t="s">
        <v>304</v>
      </c>
      <c r="L76" s="99" t="s">
        <v>33</v>
      </c>
      <c r="M76" s="99" t="s">
        <v>33</v>
      </c>
      <c r="N76" s="49" t="s">
        <v>33</v>
      </c>
      <c r="O76" s="49" t="s">
        <v>33</v>
      </c>
      <c r="P76" s="59" t="s">
        <v>583</v>
      </c>
      <c r="Q76" s="59" t="s">
        <v>584</v>
      </c>
      <c r="R76" s="99" t="s">
        <v>585</v>
      </c>
      <c r="S76" s="49" t="s">
        <v>40</v>
      </c>
      <c r="T76" s="99"/>
      <c r="U76" s="99" t="s">
        <v>33</v>
      </c>
      <c r="V76" s="99"/>
      <c r="W76" s="99"/>
      <c r="X76" s="99"/>
      <c r="Y76" s="99"/>
      <c r="Z76" s="99"/>
      <c r="AA76" s="99"/>
    </row>
    <row r="77" spans="1:27" ht="16.5" customHeight="1">
      <c r="A77" s="98">
        <v>46202</v>
      </c>
      <c r="B77" s="99" t="s">
        <v>1143</v>
      </c>
      <c r="C77" s="99">
        <v>9944894610</v>
      </c>
      <c r="D77" s="99" t="s">
        <v>1144</v>
      </c>
      <c r="E77" s="17" t="s">
        <v>86</v>
      </c>
      <c r="F77" s="99" t="s">
        <v>33</v>
      </c>
      <c r="G77" s="99" t="s">
        <v>33</v>
      </c>
      <c r="H77" s="20"/>
      <c r="I77" s="77"/>
      <c r="J77" s="20"/>
      <c r="K77" s="20"/>
      <c r="L77" s="99" t="s">
        <v>33</v>
      </c>
      <c r="M77" s="99" t="s">
        <v>33</v>
      </c>
      <c r="N77" s="49" t="s">
        <v>33</v>
      </c>
      <c r="O77" s="49" t="s">
        <v>33</v>
      </c>
      <c r="P77" s="59" t="s">
        <v>211</v>
      </c>
      <c r="Q77" s="59" t="s">
        <v>1145</v>
      </c>
      <c r="R77" s="99" t="s">
        <v>1146</v>
      </c>
      <c r="S77" s="99" t="s">
        <v>33</v>
      </c>
      <c r="T77" s="99"/>
      <c r="U77" s="99"/>
      <c r="V77" s="99"/>
      <c r="W77" s="99"/>
      <c r="X77" s="99"/>
      <c r="Y77" s="99"/>
      <c r="Z77" s="99"/>
      <c r="AA77" s="99"/>
    </row>
    <row r="78" spans="1:27" ht="16.5" customHeight="1">
      <c r="A78" s="98">
        <v>46203</v>
      </c>
      <c r="B78" s="99" t="s">
        <v>1147</v>
      </c>
      <c r="C78" s="99">
        <v>6381511208</v>
      </c>
      <c r="D78" s="99" t="s">
        <v>1148</v>
      </c>
      <c r="E78" s="17" t="s">
        <v>48</v>
      </c>
      <c r="F78" s="99" t="s">
        <v>33</v>
      </c>
      <c r="G78" s="60" t="s">
        <v>37</v>
      </c>
      <c r="H78" s="20"/>
      <c r="I78" s="77" t="s">
        <v>1149</v>
      </c>
      <c r="J78" s="20" t="s">
        <v>33</v>
      </c>
      <c r="K78" s="20" t="s">
        <v>1150</v>
      </c>
      <c r="L78" s="99" t="s">
        <v>33</v>
      </c>
      <c r="M78" s="99" t="s">
        <v>33</v>
      </c>
      <c r="N78" s="49" t="s">
        <v>33</v>
      </c>
      <c r="O78" s="49" t="s">
        <v>33</v>
      </c>
      <c r="P78" s="59" t="s">
        <v>1151</v>
      </c>
      <c r="Q78" s="59" t="s">
        <v>1152</v>
      </c>
      <c r="R78" s="99"/>
      <c r="S78" s="99"/>
      <c r="T78" s="99"/>
      <c r="U78" s="99"/>
      <c r="V78" s="99"/>
      <c r="W78" s="99"/>
      <c r="X78" s="99"/>
      <c r="Y78" s="99"/>
      <c r="Z78" s="99"/>
      <c r="AA78" s="99"/>
    </row>
    <row r="79" spans="1:27" ht="16.5" customHeight="1">
      <c r="A79" s="98">
        <v>46203</v>
      </c>
      <c r="B79" s="99" t="s">
        <v>1153</v>
      </c>
      <c r="C79" s="99">
        <v>9600783570</v>
      </c>
      <c r="D79" s="99" t="s">
        <v>1154</v>
      </c>
      <c r="E79" s="17" t="s">
        <v>48</v>
      </c>
      <c r="F79" s="99" t="s">
        <v>33</v>
      </c>
      <c r="G79" s="99" t="s">
        <v>33</v>
      </c>
      <c r="H79" s="99"/>
      <c r="I79" s="77"/>
      <c r="J79" s="20"/>
      <c r="K79" s="20"/>
      <c r="L79" s="99" t="s">
        <v>33</v>
      </c>
      <c r="M79" s="99" t="s">
        <v>33</v>
      </c>
      <c r="N79" s="49" t="s">
        <v>33</v>
      </c>
      <c r="O79" s="49" t="s">
        <v>33</v>
      </c>
      <c r="P79" s="59"/>
      <c r="Q79" s="59"/>
      <c r="R79" s="99"/>
      <c r="S79" s="99"/>
      <c r="T79" s="99"/>
      <c r="U79" s="99"/>
      <c r="V79" s="99"/>
      <c r="W79" s="99"/>
      <c r="X79" s="99"/>
      <c r="Y79" s="99"/>
      <c r="Z79" s="99"/>
      <c r="AA79" s="99"/>
    </row>
    <row r="80" spans="1:27" ht="16.5" customHeight="1">
      <c r="A80" s="98">
        <v>46203</v>
      </c>
      <c r="B80" s="99" t="s">
        <v>1155</v>
      </c>
      <c r="C80" s="99">
        <v>9790258418</v>
      </c>
      <c r="D80" s="99" t="s">
        <v>1156</v>
      </c>
      <c r="E80" s="17" t="s">
        <v>48</v>
      </c>
      <c r="F80" s="99" t="s">
        <v>33</v>
      </c>
      <c r="G80" s="99" t="s">
        <v>33</v>
      </c>
      <c r="H80" s="99" t="s">
        <v>33</v>
      </c>
      <c r="I80" s="77" t="s">
        <v>1157</v>
      </c>
      <c r="J80" s="20" t="s">
        <v>33</v>
      </c>
      <c r="K80" s="20" t="s">
        <v>1158</v>
      </c>
      <c r="L80" s="99" t="s">
        <v>33</v>
      </c>
      <c r="M80" s="99" t="s">
        <v>33</v>
      </c>
      <c r="N80" s="49" t="s">
        <v>33</v>
      </c>
      <c r="O80" s="49" t="s">
        <v>33</v>
      </c>
      <c r="P80" s="59" t="s">
        <v>1159</v>
      </c>
      <c r="Q80" s="59" t="s">
        <v>1160</v>
      </c>
      <c r="R80" s="99" t="s">
        <v>1161</v>
      </c>
      <c r="S80" s="49" t="s">
        <v>40</v>
      </c>
      <c r="T80" s="99" t="s">
        <v>33</v>
      </c>
      <c r="U80" s="99"/>
      <c r="V80" s="99"/>
      <c r="W80" s="99"/>
      <c r="X80" s="99"/>
      <c r="Y80" s="99"/>
      <c r="Z80" s="99"/>
      <c r="AA80" s="99"/>
    </row>
    <row r="81" spans="1:27" ht="16.5" customHeight="1">
      <c r="A81" s="98">
        <v>46203</v>
      </c>
      <c r="B81" s="99" t="s">
        <v>1162</v>
      </c>
      <c r="C81" s="99">
        <v>9962001979</v>
      </c>
      <c r="D81" s="99" t="s">
        <v>1163</v>
      </c>
      <c r="E81" s="17" t="s">
        <v>86</v>
      </c>
      <c r="F81" s="99" t="s">
        <v>33</v>
      </c>
      <c r="G81" s="99" t="s">
        <v>33</v>
      </c>
      <c r="H81" s="99"/>
      <c r="I81" s="74"/>
      <c r="J81" s="99"/>
      <c r="K81" s="99"/>
      <c r="L81" s="99" t="s">
        <v>33</v>
      </c>
      <c r="M81" s="99" t="s">
        <v>33</v>
      </c>
      <c r="N81" s="49" t="s">
        <v>33</v>
      </c>
      <c r="O81" s="49" t="s">
        <v>33</v>
      </c>
      <c r="P81" s="59" t="s">
        <v>1164</v>
      </c>
      <c r="Q81" s="59" t="s">
        <v>1165</v>
      </c>
      <c r="R81" s="99" t="s">
        <v>1166</v>
      </c>
      <c r="S81" s="49" t="s">
        <v>40</v>
      </c>
      <c r="T81" s="99"/>
      <c r="U81" s="99" t="s">
        <v>33</v>
      </c>
      <c r="V81" s="99"/>
      <c r="W81" s="99"/>
      <c r="X81" s="99" t="s">
        <v>33</v>
      </c>
      <c r="Y81" s="99" t="s">
        <v>33</v>
      </c>
      <c r="Z81" s="99"/>
      <c r="AA81" s="99"/>
    </row>
    <row r="83" spans="1:27" s="66" customFormat="1">
      <c r="B83" s="66" t="s">
        <v>1167</v>
      </c>
      <c r="G83" s="66" t="s">
        <v>1168</v>
      </c>
      <c r="I83" s="66" t="s">
        <v>270</v>
      </c>
      <c r="K83" s="66" t="s">
        <v>13</v>
      </c>
      <c r="R83" s="66" t="s">
        <v>271</v>
      </c>
      <c r="S83" s="66" t="s">
        <v>272</v>
      </c>
    </row>
    <row r="84" spans="1:27" s="66" customFormat="1">
      <c r="G84" s="66" t="s">
        <v>1169</v>
      </c>
      <c r="I84" s="65">
        <f>30/50</f>
        <v>0.6</v>
      </c>
      <c r="K84" s="65">
        <f>(24/50)</f>
        <v>0.48</v>
      </c>
      <c r="R84" s="66">
        <v>47</v>
      </c>
      <c r="S84" s="66">
        <v>25</v>
      </c>
    </row>
    <row r="87" spans="1:27">
      <c r="K87" s="20"/>
    </row>
  </sheetData>
  <autoFilter ref="A31:AA81" xr:uid="{00000000-0009-0000-0000-000005000000}"/>
  <mergeCells count="1">
    <mergeCell ref="A1:E1"/>
  </mergeCells>
  <hyperlinks>
    <hyperlink ref="D36" r:id="rId1" xr:uid="{00000000-0004-0000-0500-000000000000}"/>
    <hyperlink ref="R37" r:id="rId2" xr:uid="{00000000-0004-0000-0500-000001000000}"/>
    <hyperlink ref="R39" r:id="rId3" xr:uid="{00000000-0004-0000-0500-000002000000}"/>
    <hyperlink ref="D41" r:id="rId4" xr:uid="{00000000-0004-0000-0500-000003000000}"/>
    <hyperlink ref="R41" r:id="rId5" xr:uid="{00000000-0004-0000-0500-000004000000}"/>
    <hyperlink ref="D42" r:id="rId6" xr:uid="{00000000-0004-0000-0500-000005000000}"/>
    <hyperlink ref="D48" r:id="rId7" xr:uid="{00000000-0004-0000-0500-000006000000}"/>
    <hyperlink ref="D49" r:id="rId8" xr:uid="{00000000-0004-0000-0500-000007000000}"/>
    <hyperlink ref="D50" r:id="rId9" xr:uid="{00000000-0004-0000-0500-000008000000}"/>
    <hyperlink ref="D53" r:id="rId10" xr:uid="{00000000-0004-0000-0500-000009000000}"/>
    <hyperlink ref="D65" r:id="rId11" xr:uid="{00000000-0004-0000-0500-00000A000000}"/>
  </hyperlinks>
  <pageMargins left="0.7" right="0.7" top="0.75" bottom="0.75" header="0.3" footer="0.3"/>
  <pageSetup paperSize="9" orientation="portrait"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86"/>
  <sheetViews>
    <sheetView topLeftCell="A61" zoomScale="78" zoomScaleNormal="78" workbookViewId="0">
      <selection activeCell="B61" sqref="B61"/>
    </sheetView>
  </sheetViews>
  <sheetFormatPr defaultRowHeight="14.5"/>
  <cols>
    <col min="1" max="1" width="13" style="44" customWidth="1"/>
    <col min="2" max="2" width="49.26953125" style="44" bestFit="1" customWidth="1"/>
    <col min="3" max="3" width="15.54296875" style="44" bestFit="1" customWidth="1"/>
    <col min="4" max="4" width="14.26953125" style="44" customWidth="1"/>
    <col min="7" max="7" width="19.54296875" style="44" customWidth="1"/>
    <col min="9" max="9" width="12" style="44" customWidth="1"/>
    <col min="11" max="11" width="13" style="44" customWidth="1"/>
    <col min="18" max="18" width="14.54296875" style="44" customWidth="1"/>
  </cols>
  <sheetData>
    <row r="1" spans="1:5">
      <c r="A1" s="107" t="s">
        <v>1170</v>
      </c>
      <c r="B1" s="105"/>
      <c r="C1" s="105"/>
      <c r="D1" s="105"/>
      <c r="E1" s="106"/>
    </row>
    <row r="2" spans="1:5">
      <c r="A2" s="103" t="s">
        <v>1</v>
      </c>
      <c r="B2" s="103">
        <v>2093</v>
      </c>
      <c r="C2" s="45">
        <v>2337</v>
      </c>
      <c r="D2" s="103">
        <v>2394</v>
      </c>
      <c r="E2" s="103" t="s">
        <v>2</v>
      </c>
    </row>
    <row r="3" spans="1:5">
      <c r="A3" s="98">
        <v>46204</v>
      </c>
      <c r="B3" s="99">
        <v>2</v>
      </c>
      <c r="C3" s="99">
        <v>2</v>
      </c>
      <c r="D3" s="99">
        <v>1</v>
      </c>
      <c r="E3" s="99">
        <v>5</v>
      </c>
    </row>
    <row r="4" spans="1:5">
      <c r="A4" s="98">
        <v>46205</v>
      </c>
      <c r="B4" s="99">
        <v>1</v>
      </c>
      <c r="C4" s="99">
        <v>1</v>
      </c>
      <c r="D4" s="99">
        <v>1</v>
      </c>
      <c r="E4" s="99">
        <v>3</v>
      </c>
    </row>
    <row r="5" spans="1:5">
      <c r="A5" s="98">
        <v>46206</v>
      </c>
      <c r="B5" s="99"/>
      <c r="C5" s="99">
        <v>1</v>
      </c>
      <c r="D5" s="99"/>
      <c r="E5" s="99">
        <v>1</v>
      </c>
    </row>
    <row r="6" spans="1:5">
      <c r="A6" s="98">
        <v>46209</v>
      </c>
      <c r="B6" s="99"/>
      <c r="C6" s="99"/>
      <c r="D6" s="99"/>
      <c r="E6" s="99"/>
    </row>
    <row r="7" spans="1:5">
      <c r="A7" s="98">
        <v>46210</v>
      </c>
      <c r="B7" s="99">
        <v>1</v>
      </c>
      <c r="C7" s="99">
        <v>1</v>
      </c>
      <c r="D7" s="99"/>
      <c r="E7" s="99">
        <v>2</v>
      </c>
    </row>
    <row r="8" spans="1:5">
      <c r="A8" s="98">
        <v>46211</v>
      </c>
      <c r="B8" s="99"/>
      <c r="C8" s="99"/>
      <c r="D8" s="99">
        <v>1</v>
      </c>
      <c r="E8" s="99">
        <v>1</v>
      </c>
    </row>
    <row r="9" spans="1:5">
      <c r="A9" s="98">
        <v>46212</v>
      </c>
      <c r="B9" s="99">
        <v>2</v>
      </c>
      <c r="C9" s="99">
        <v>1</v>
      </c>
      <c r="D9" s="99">
        <v>1</v>
      </c>
      <c r="E9" s="99">
        <v>4</v>
      </c>
    </row>
    <row r="10" spans="1:5">
      <c r="A10" s="98">
        <v>46213</v>
      </c>
      <c r="B10" s="99">
        <v>1</v>
      </c>
      <c r="C10" s="99">
        <v>1</v>
      </c>
      <c r="D10" s="99"/>
      <c r="E10" s="99">
        <v>2</v>
      </c>
    </row>
    <row r="11" spans="1:5">
      <c r="A11" s="98">
        <v>46216</v>
      </c>
      <c r="B11" s="99"/>
      <c r="C11" s="99">
        <v>1</v>
      </c>
      <c r="D11" s="99">
        <v>1</v>
      </c>
      <c r="E11" s="99">
        <v>2</v>
      </c>
    </row>
    <row r="12" spans="1:5">
      <c r="A12" s="98">
        <v>46217</v>
      </c>
      <c r="B12" s="99">
        <v>1</v>
      </c>
      <c r="C12" s="99">
        <v>1</v>
      </c>
      <c r="D12" s="99"/>
      <c r="E12" s="99">
        <v>2</v>
      </c>
    </row>
    <row r="13" spans="1:5">
      <c r="A13" s="98">
        <v>46218</v>
      </c>
      <c r="B13" s="99">
        <v>2</v>
      </c>
      <c r="C13" s="99"/>
      <c r="D13" s="99">
        <v>1</v>
      </c>
      <c r="E13" s="99">
        <v>3</v>
      </c>
    </row>
    <row r="14" spans="1:5">
      <c r="A14" s="98">
        <v>46219</v>
      </c>
      <c r="B14" s="99">
        <v>2</v>
      </c>
      <c r="C14" s="99"/>
      <c r="D14" s="99"/>
      <c r="E14" s="99">
        <v>2</v>
      </c>
    </row>
    <row r="15" spans="1:5">
      <c r="A15" s="98">
        <v>46220</v>
      </c>
      <c r="B15" s="99">
        <v>1</v>
      </c>
      <c r="C15" s="99">
        <v>2</v>
      </c>
      <c r="D15" s="99"/>
      <c r="E15" s="99">
        <v>3</v>
      </c>
    </row>
    <row r="16" spans="1:5">
      <c r="A16" s="98">
        <v>46223</v>
      </c>
      <c r="B16" s="99"/>
      <c r="C16" s="99"/>
      <c r="D16" s="99"/>
      <c r="E16" s="99"/>
    </row>
    <row r="17" spans="1:28">
      <c r="A17" s="98">
        <v>46224</v>
      </c>
      <c r="B17" s="99">
        <v>2</v>
      </c>
      <c r="C17" s="99"/>
      <c r="D17" s="99"/>
      <c r="E17" s="99">
        <v>2</v>
      </c>
    </row>
    <row r="18" spans="1:28">
      <c r="A18" s="98">
        <v>46225</v>
      </c>
      <c r="B18" s="99">
        <v>1</v>
      </c>
      <c r="C18" s="99"/>
      <c r="D18" s="99">
        <v>2</v>
      </c>
      <c r="E18" s="99">
        <v>3</v>
      </c>
    </row>
    <row r="19" spans="1:28">
      <c r="A19" s="98">
        <v>46226</v>
      </c>
      <c r="B19" s="99">
        <v>1</v>
      </c>
      <c r="C19" s="99">
        <v>1</v>
      </c>
      <c r="D19" s="99"/>
      <c r="E19" s="99">
        <v>2</v>
      </c>
    </row>
    <row r="20" spans="1:28">
      <c r="A20" s="98">
        <v>46227</v>
      </c>
      <c r="B20" s="99">
        <v>1</v>
      </c>
      <c r="C20" s="99">
        <v>1</v>
      </c>
      <c r="D20" s="99">
        <v>1</v>
      </c>
      <c r="E20" s="99">
        <v>3</v>
      </c>
    </row>
    <row r="21" spans="1:28">
      <c r="A21" s="98">
        <v>46230</v>
      </c>
      <c r="B21" s="99">
        <v>1</v>
      </c>
      <c r="C21" s="99">
        <v>1</v>
      </c>
      <c r="D21" s="99">
        <v>2</v>
      </c>
      <c r="E21" s="99">
        <v>4</v>
      </c>
    </row>
    <row r="22" spans="1:28">
      <c r="A22" s="98">
        <v>46231</v>
      </c>
      <c r="B22" s="99">
        <v>2</v>
      </c>
      <c r="C22" s="99">
        <v>2</v>
      </c>
      <c r="D22" s="99"/>
      <c r="E22" s="99">
        <v>4</v>
      </c>
    </row>
    <row r="23" spans="1:28">
      <c r="A23" s="98">
        <v>46232</v>
      </c>
      <c r="B23" s="99">
        <v>1</v>
      </c>
      <c r="C23" s="99"/>
      <c r="D23" s="99"/>
      <c r="E23" s="99">
        <v>1</v>
      </c>
    </row>
    <row r="24" spans="1:28">
      <c r="A24" s="98">
        <v>46233</v>
      </c>
      <c r="B24" s="99"/>
      <c r="C24" s="99">
        <v>1</v>
      </c>
      <c r="D24" s="99"/>
      <c r="E24" s="99">
        <v>1</v>
      </c>
    </row>
    <row r="25" spans="1:28">
      <c r="A25" s="98">
        <v>46234</v>
      </c>
      <c r="B25" s="99">
        <v>1</v>
      </c>
      <c r="C25" s="99"/>
      <c r="D25" s="99">
        <v>1</v>
      </c>
      <c r="E25" s="99">
        <v>2</v>
      </c>
    </row>
    <row r="26" spans="1:28">
      <c r="B26" s="99">
        <v>23</v>
      </c>
      <c r="C26" s="99">
        <v>17</v>
      </c>
      <c r="D26" s="99">
        <v>12</v>
      </c>
      <c r="E26" s="99"/>
    </row>
    <row r="27" spans="1:28">
      <c r="D27" s="99" t="s">
        <v>1171</v>
      </c>
      <c r="E27" s="99">
        <v>52</v>
      </c>
    </row>
    <row r="31" spans="1:28" ht="190.5" customHeight="1">
      <c r="A31" s="103" t="s">
        <v>1</v>
      </c>
      <c r="B31" s="103" t="s">
        <v>5</v>
      </c>
      <c r="C31" s="45" t="s">
        <v>6</v>
      </c>
      <c r="D31" s="103" t="s">
        <v>7</v>
      </c>
      <c r="E31" s="103" t="s">
        <v>8</v>
      </c>
      <c r="F31" s="46" t="s">
        <v>275</v>
      </c>
      <c r="G31" s="46" t="s">
        <v>10</v>
      </c>
      <c r="H31" s="47" t="s">
        <v>11</v>
      </c>
      <c r="I31" s="103" t="s">
        <v>12</v>
      </c>
      <c r="J31" s="46" t="s">
        <v>13</v>
      </c>
      <c r="K31" s="103" t="s">
        <v>12</v>
      </c>
      <c r="L31" s="46" t="s">
        <v>15</v>
      </c>
      <c r="M31" s="46" t="s">
        <v>16</v>
      </c>
      <c r="N31" s="46" t="s">
        <v>17</v>
      </c>
      <c r="O31" s="46" t="s">
        <v>18</v>
      </c>
      <c r="P31" s="103" t="s">
        <v>19</v>
      </c>
      <c r="Q31" s="103" t="s">
        <v>20</v>
      </c>
      <c r="R31" s="103" t="s">
        <v>21</v>
      </c>
      <c r="S31" s="46" t="s">
        <v>22</v>
      </c>
      <c r="T31" s="46" t="s">
        <v>23</v>
      </c>
      <c r="U31" s="46" t="s">
        <v>24</v>
      </c>
      <c r="V31" s="46" t="s">
        <v>982</v>
      </c>
      <c r="W31" s="46" t="s">
        <v>25</v>
      </c>
      <c r="X31" s="46" t="s">
        <v>26</v>
      </c>
      <c r="Y31" s="46" t="s">
        <v>27</v>
      </c>
      <c r="Z31" s="46" t="s">
        <v>28</v>
      </c>
      <c r="AA31" s="99" t="s">
        <v>29</v>
      </c>
      <c r="AB31" s="99" t="s">
        <v>1172</v>
      </c>
    </row>
    <row r="32" spans="1:28" ht="15.75" customHeight="1">
      <c r="A32" s="98">
        <v>46204</v>
      </c>
      <c r="B32" s="99" t="s">
        <v>1173</v>
      </c>
      <c r="C32" s="99">
        <v>9043504755</v>
      </c>
      <c r="D32" s="99" t="s">
        <v>1174</v>
      </c>
      <c r="E32" s="17" t="s">
        <v>48</v>
      </c>
      <c r="F32" s="99" t="s">
        <v>33</v>
      </c>
      <c r="G32" s="99" t="s">
        <v>33</v>
      </c>
      <c r="H32" s="99" t="s">
        <v>33</v>
      </c>
      <c r="I32" s="99" t="s">
        <v>1175</v>
      </c>
      <c r="J32" s="99" t="s">
        <v>33</v>
      </c>
      <c r="K32" s="99" t="s">
        <v>1175</v>
      </c>
      <c r="L32" s="99" t="s">
        <v>33</v>
      </c>
      <c r="M32" s="99" t="s">
        <v>33</v>
      </c>
      <c r="N32" s="49" t="s">
        <v>33</v>
      </c>
      <c r="O32" s="49" t="s">
        <v>33</v>
      </c>
      <c r="P32" s="99" t="s">
        <v>792</v>
      </c>
      <c r="Q32" s="99" t="s">
        <v>298</v>
      </c>
      <c r="R32" s="99" t="s">
        <v>1176</v>
      </c>
      <c r="S32" s="49" t="s">
        <v>40</v>
      </c>
      <c r="T32" s="99" t="s">
        <v>33</v>
      </c>
      <c r="U32" s="99"/>
      <c r="V32" s="99"/>
      <c r="W32" s="99"/>
      <c r="X32" s="99"/>
      <c r="Y32" s="99"/>
      <c r="Z32" s="99"/>
      <c r="AA32" s="99"/>
      <c r="AB32" s="99"/>
    </row>
    <row r="33" spans="1:28" ht="17.25" customHeight="1">
      <c r="A33" s="98">
        <v>46204</v>
      </c>
      <c r="B33" s="99" t="s">
        <v>1177</v>
      </c>
      <c r="C33" s="99">
        <v>9566247842</v>
      </c>
      <c r="D33" s="99" t="s">
        <v>1178</v>
      </c>
      <c r="E33" s="17" t="s">
        <v>48</v>
      </c>
      <c r="F33" s="99" t="s">
        <v>33</v>
      </c>
      <c r="G33" s="99" t="s">
        <v>33</v>
      </c>
      <c r="H33" s="99"/>
      <c r="I33" s="99"/>
      <c r="J33" s="99"/>
      <c r="K33" s="99"/>
      <c r="L33" s="99" t="s">
        <v>33</v>
      </c>
      <c r="M33" s="99" t="s">
        <v>33</v>
      </c>
      <c r="N33" s="49" t="s">
        <v>33</v>
      </c>
      <c r="O33" s="49" t="s">
        <v>33</v>
      </c>
      <c r="P33" s="53" t="s">
        <v>1179</v>
      </c>
      <c r="Q33" s="53" t="s">
        <v>551</v>
      </c>
      <c r="R33" s="99" t="s">
        <v>1180</v>
      </c>
      <c r="S33" s="99" t="s">
        <v>33</v>
      </c>
      <c r="T33" s="99"/>
      <c r="U33" s="99"/>
      <c r="V33" s="99"/>
      <c r="W33" s="99"/>
      <c r="X33" s="99"/>
      <c r="Y33" s="99"/>
      <c r="Z33" s="99"/>
      <c r="AA33" s="99"/>
      <c r="AB33" s="99"/>
    </row>
    <row r="34" spans="1:28" ht="15.75" customHeight="1">
      <c r="A34" s="98">
        <v>46204</v>
      </c>
      <c r="B34" s="99" t="s">
        <v>1087</v>
      </c>
      <c r="C34" s="99">
        <v>7010407357</v>
      </c>
      <c r="D34" s="99" t="s">
        <v>1088</v>
      </c>
      <c r="E34" s="17" t="s">
        <v>48</v>
      </c>
      <c r="F34" s="99" t="s">
        <v>1181</v>
      </c>
      <c r="G34" s="99" t="s">
        <v>33</v>
      </c>
      <c r="H34" s="99" t="s">
        <v>33</v>
      </c>
      <c r="I34" s="99" t="s">
        <v>1182</v>
      </c>
      <c r="J34" s="99" t="s">
        <v>33</v>
      </c>
      <c r="K34" s="99" t="s">
        <v>304</v>
      </c>
      <c r="L34" s="99" t="s">
        <v>33</v>
      </c>
      <c r="M34" s="99" t="s">
        <v>33</v>
      </c>
      <c r="N34" s="49" t="s">
        <v>33</v>
      </c>
      <c r="O34" s="49" t="s">
        <v>33</v>
      </c>
      <c r="P34" s="99" t="s">
        <v>256</v>
      </c>
      <c r="Q34" s="99" t="s">
        <v>1183</v>
      </c>
      <c r="R34" s="99" t="s">
        <v>1184</v>
      </c>
      <c r="S34" s="49" t="s">
        <v>40</v>
      </c>
      <c r="T34" s="99"/>
      <c r="U34" s="99"/>
      <c r="V34" s="99"/>
      <c r="W34" s="99"/>
      <c r="X34" s="99"/>
      <c r="Y34" s="99"/>
      <c r="Z34" s="99"/>
      <c r="AA34" s="99"/>
      <c r="AB34" s="99"/>
    </row>
    <row r="35" spans="1:28" ht="15.75" customHeight="1">
      <c r="A35" s="98">
        <v>46204</v>
      </c>
      <c r="B35" s="99" t="s">
        <v>1185</v>
      </c>
      <c r="C35" s="99">
        <v>8610515070</v>
      </c>
      <c r="D35" s="99" t="s">
        <v>1186</v>
      </c>
      <c r="E35" s="17" t="s">
        <v>48</v>
      </c>
      <c r="F35" s="99" t="s">
        <v>33</v>
      </c>
      <c r="G35" s="99" t="s">
        <v>33</v>
      </c>
      <c r="H35" s="99" t="s">
        <v>33</v>
      </c>
      <c r="I35" s="99" t="s">
        <v>1187</v>
      </c>
      <c r="J35" s="99" t="s">
        <v>33</v>
      </c>
      <c r="K35" s="99" t="s">
        <v>304</v>
      </c>
      <c r="L35" s="99" t="s">
        <v>33</v>
      </c>
      <c r="M35" s="99" t="s">
        <v>33</v>
      </c>
      <c r="N35" s="49" t="s">
        <v>33</v>
      </c>
      <c r="O35" s="49" t="s">
        <v>33</v>
      </c>
      <c r="P35" s="99" t="s">
        <v>153</v>
      </c>
      <c r="Q35" s="99" t="s">
        <v>1188</v>
      </c>
      <c r="R35" s="99" t="s">
        <v>1189</v>
      </c>
      <c r="S35" s="49" t="s">
        <v>40</v>
      </c>
      <c r="T35" s="99"/>
      <c r="U35" s="99"/>
      <c r="V35" s="99"/>
      <c r="W35" s="99"/>
      <c r="X35" s="99"/>
      <c r="Y35" s="99" t="s">
        <v>33</v>
      </c>
      <c r="Z35" s="99" t="s">
        <v>33</v>
      </c>
      <c r="AA35" s="99"/>
      <c r="AB35" s="99"/>
    </row>
    <row r="36" spans="1:28" ht="15.75" customHeight="1">
      <c r="A36" s="98">
        <v>46204</v>
      </c>
      <c r="B36" s="99" t="s">
        <v>1190</v>
      </c>
      <c r="C36" s="99">
        <v>9176388076</v>
      </c>
      <c r="D36" s="99" t="s">
        <v>1191</v>
      </c>
      <c r="E36" s="17" t="s">
        <v>48</v>
      </c>
      <c r="F36" s="99" t="s">
        <v>33</v>
      </c>
      <c r="G36" s="99" t="s">
        <v>33</v>
      </c>
      <c r="H36" s="99" t="s">
        <v>33</v>
      </c>
      <c r="I36" s="99" t="s">
        <v>1192</v>
      </c>
      <c r="J36" s="99" t="s">
        <v>33</v>
      </c>
      <c r="K36" s="99" t="s">
        <v>341</v>
      </c>
      <c r="L36" s="99" t="s">
        <v>33</v>
      </c>
      <c r="M36" s="99" t="s">
        <v>33</v>
      </c>
      <c r="N36" s="49" t="s">
        <v>33</v>
      </c>
      <c r="O36" s="49" t="s">
        <v>33</v>
      </c>
      <c r="P36" s="99" t="s">
        <v>1193</v>
      </c>
      <c r="Q36" s="99" t="s">
        <v>653</v>
      </c>
      <c r="R36" s="99" t="s">
        <v>1194</v>
      </c>
      <c r="S36" s="49" t="s">
        <v>40</v>
      </c>
      <c r="T36" s="99"/>
      <c r="U36" s="99"/>
      <c r="V36" s="99"/>
      <c r="W36" s="99"/>
      <c r="X36" s="99"/>
      <c r="Y36" s="99"/>
      <c r="Z36" s="99"/>
      <c r="AA36" s="99"/>
      <c r="AB36" s="99"/>
    </row>
    <row r="37" spans="1:28" ht="15.75" customHeight="1">
      <c r="A37" s="98">
        <v>46205</v>
      </c>
      <c r="B37" s="99" t="s">
        <v>1195</v>
      </c>
      <c r="C37" s="99">
        <v>9941157809</v>
      </c>
      <c r="D37" s="99" t="s">
        <v>1196</v>
      </c>
      <c r="E37" s="17" t="s">
        <v>25</v>
      </c>
      <c r="F37" s="99" t="s">
        <v>33</v>
      </c>
      <c r="G37" s="99" t="s">
        <v>33</v>
      </c>
      <c r="H37" s="99" t="s">
        <v>33</v>
      </c>
      <c r="I37" s="99" t="s">
        <v>921</v>
      </c>
      <c r="J37" s="99" t="s">
        <v>33</v>
      </c>
      <c r="K37" s="99" t="s">
        <v>304</v>
      </c>
      <c r="L37" s="99" t="s">
        <v>33</v>
      </c>
      <c r="M37" s="99" t="s">
        <v>33</v>
      </c>
      <c r="N37" s="49" t="s">
        <v>33</v>
      </c>
      <c r="O37" s="49" t="s">
        <v>33</v>
      </c>
      <c r="P37" s="99"/>
      <c r="Q37" s="99"/>
      <c r="R37" s="99" t="s">
        <v>1197</v>
      </c>
      <c r="S37" s="99" t="s">
        <v>33</v>
      </c>
      <c r="T37" s="99"/>
      <c r="U37" s="99"/>
      <c r="V37" s="99"/>
      <c r="W37" s="99"/>
      <c r="X37" s="99"/>
      <c r="Y37" s="99"/>
      <c r="Z37" s="99"/>
      <c r="AA37" s="99"/>
      <c r="AB37" s="99"/>
    </row>
    <row r="38" spans="1:28" ht="15.75" customHeight="1">
      <c r="A38" s="98">
        <v>46205</v>
      </c>
      <c r="B38" s="99" t="s">
        <v>1198</v>
      </c>
      <c r="C38" s="99">
        <v>8637618733</v>
      </c>
      <c r="D38" s="99" t="s">
        <v>1199</v>
      </c>
      <c r="E38" s="17" t="s">
        <v>276</v>
      </c>
      <c r="F38" s="99" t="s">
        <v>33</v>
      </c>
      <c r="G38" s="60" t="s">
        <v>37</v>
      </c>
      <c r="H38" s="99" t="s">
        <v>33</v>
      </c>
      <c r="I38" s="99" t="s">
        <v>1200</v>
      </c>
      <c r="J38" s="99"/>
      <c r="K38" s="99"/>
      <c r="L38" s="99" t="s">
        <v>33</v>
      </c>
      <c r="M38" s="99" t="s">
        <v>33</v>
      </c>
      <c r="N38" s="49" t="s">
        <v>33</v>
      </c>
      <c r="O38" s="49" t="s">
        <v>33</v>
      </c>
      <c r="P38" s="99" t="s">
        <v>1201</v>
      </c>
      <c r="Q38" s="99" t="s">
        <v>1202</v>
      </c>
      <c r="R38" s="99" t="s">
        <v>1203</v>
      </c>
      <c r="S38" s="49" t="s">
        <v>40</v>
      </c>
      <c r="T38" s="99" t="s">
        <v>33</v>
      </c>
      <c r="U38" s="99"/>
      <c r="V38" s="99"/>
      <c r="W38" s="99"/>
      <c r="X38" s="99"/>
      <c r="Y38" s="99"/>
      <c r="Z38" s="99"/>
      <c r="AA38" s="99"/>
      <c r="AB38" s="99" t="s">
        <v>33</v>
      </c>
    </row>
    <row r="39" spans="1:28" ht="15.75" customHeight="1">
      <c r="A39" s="98">
        <v>46205</v>
      </c>
      <c r="B39" s="99" t="s">
        <v>1204</v>
      </c>
      <c r="C39" s="99">
        <v>9952926115</v>
      </c>
      <c r="D39" s="99" t="s">
        <v>1205</v>
      </c>
      <c r="E39" s="17" t="s">
        <v>86</v>
      </c>
      <c r="F39" s="99" t="s">
        <v>33</v>
      </c>
      <c r="G39" s="60" t="s">
        <v>37</v>
      </c>
      <c r="H39" s="99" t="s">
        <v>33</v>
      </c>
      <c r="I39" s="99" t="s">
        <v>482</v>
      </c>
      <c r="J39" s="99"/>
      <c r="K39" s="99"/>
      <c r="L39" s="99" t="s">
        <v>33</v>
      </c>
      <c r="M39" s="99" t="s">
        <v>33</v>
      </c>
      <c r="N39" s="49" t="s">
        <v>33</v>
      </c>
      <c r="O39" s="49" t="s">
        <v>33</v>
      </c>
      <c r="P39" s="99" t="s">
        <v>1206</v>
      </c>
      <c r="Q39" s="99" t="s">
        <v>1207</v>
      </c>
      <c r="R39" s="99" t="s">
        <v>1208</v>
      </c>
      <c r="S39" s="49" t="s">
        <v>40</v>
      </c>
      <c r="T39" s="99"/>
      <c r="U39" s="99"/>
      <c r="V39" s="99"/>
      <c r="W39" s="99"/>
      <c r="X39" s="99"/>
      <c r="Y39" s="99"/>
      <c r="Z39" s="99"/>
      <c r="AA39" s="99"/>
      <c r="AB39" s="99"/>
    </row>
    <row r="40" spans="1:28" ht="15.75" customHeight="1">
      <c r="A40" s="98">
        <v>46206</v>
      </c>
      <c r="B40" s="99" t="s">
        <v>1209</v>
      </c>
      <c r="C40" s="99">
        <v>9092763005</v>
      </c>
      <c r="D40" s="99" t="s">
        <v>855</v>
      </c>
      <c r="E40" s="17" t="s">
        <v>48</v>
      </c>
      <c r="F40" s="99" t="s">
        <v>1181</v>
      </c>
      <c r="G40" s="99" t="s">
        <v>33</v>
      </c>
      <c r="H40" s="99"/>
      <c r="I40" s="99"/>
      <c r="J40" s="99"/>
      <c r="K40" s="99"/>
      <c r="L40" s="99" t="s">
        <v>33</v>
      </c>
      <c r="M40" s="99" t="s">
        <v>33</v>
      </c>
      <c r="N40" s="49" t="s">
        <v>33</v>
      </c>
      <c r="O40" s="49" t="s">
        <v>33</v>
      </c>
      <c r="P40" s="99" t="s">
        <v>593</v>
      </c>
      <c r="Q40" s="99" t="s">
        <v>1210</v>
      </c>
      <c r="R40" s="99" t="s">
        <v>1211</v>
      </c>
      <c r="S40" s="99" t="s">
        <v>33</v>
      </c>
      <c r="T40" s="99"/>
      <c r="U40" s="99"/>
      <c r="V40" s="99"/>
      <c r="W40" s="99"/>
      <c r="X40" s="99"/>
      <c r="Y40" s="99"/>
      <c r="Z40" s="99"/>
      <c r="AA40" s="99"/>
      <c r="AB40" s="99"/>
    </row>
    <row r="41" spans="1:28" ht="15.75" customHeight="1">
      <c r="A41" s="98">
        <v>46210</v>
      </c>
      <c r="B41" s="99" t="s">
        <v>1212</v>
      </c>
      <c r="C41" s="99">
        <v>9901492921</v>
      </c>
      <c r="D41" s="99" t="s">
        <v>1213</v>
      </c>
      <c r="E41" s="17" t="s">
        <v>86</v>
      </c>
      <c r="F41" s="99" t="s">
        <v>33</v>
      </c>
      <c r="G41" s="99" t="s">
        <v>33</v>
      </c>
      <c r="H41" s="99"/>
      <c r="I41" s="99"/>
      <c r="J41" s="99"/>
      <c r="K41" s="99"/>
      <c r="L41" s="99" t="s">
        <v>33</v>
      </c>
      <c r="M41" s="99" t="s">
        <v>33</v>
      </c>
      <c r="N41" s="49" t="s">
        <v>33</v>
      </c>
      <c r="O41" s="49" t="s">
        <v>33</v>
      </c>
      <c r="P41" s="99"/>
      <c r="Q41" s="99"/>
      <c r="R41" s="99"/>
      <c r="S41" s="99"/>
      <c r="T41" s="99"/>
      <c r="U41" s="99"/>
      <c r="V41" s="99"/>
      <c r="W41" s="99"/>
      <c r="X41" s="99"/>
      <c r="Y41" s="99"/>
      <c r="Z41" s="99"/>
      <c r="AA41" s="99"/>
      <c r="AB41" s="99"/>
    </row>
    <row r="42" spans="1:28" ht="15.75" customHeight="1">
      <c r="A42" s="98">
        <v>46210</v>
      </c>
      <c r="B42" s="99" t="s">
        <v>1173</v>
      </c>
      <c r="C42" s="99">
        <v>9043504755</v>
      </c>
      <c r="D42" s="99" t="s">
        <v>1214</v>
      </c>
      <c r="E42" s="17" t="s">
        <v>48</v>
      </c>
      <c r="F42" s="99" t="s">
        <v>1181</v>
      </c>
      <c r="G42" s="99" t="s">
        <v>33</v>
      </c>
      <c r="H42" s="99" t="s">
        <v>33</v>
      </c>
      <c r="I42" s="99" t="s">
        <v>1175</v>
      </c>
      <c r="J42" s="99" t="s">
        <v>33</v>
      </c>
      <c r="K42" s="99" t="s">
        <v>1175</v>
      </c>
      <c r="L42" s="99" t="s">
        <v>33</v>
      </c>
      <c r="M42" s="99" t="s">
        <v>33</v>
      </c>
      <c r="N42" s="49" t="s">
        <v>33</v>
      </c>
      <c r="O42" s="49" t="s">
        <v>33</v>
      </c>
      <c r="P42" s="99" t="s">
        <v>792</v>
      </c>
      <c r="Q42" s="99" t="s">
        <v>298</v>
      </c>
      <c r="R42" s="99" t="s">
        <v>1176</v>
      </c>
      <c r="S42" s="49" t="s">
        <v>40</v>
      </c>
      <c r="T42" s="99" t="s">
        <v>33</v>
      </c>
      <c r="U42" s="99"/>
      <c r="V42" s="99"/>
      <c r="W42" s="99"/>
      <c r="X42" s="99"/>
      <c r="Y42" s="99"/>
      <c r="Z42" s="99"/>
      <c r="AA42" s="99"/>
      <c r="AB42" s="99"/>
    </row>
    <row r="43" spans="1:28" ht="15.75" customHeight="1">
      <c r="A43" s="98">
        <v>46211</v>
      </c>
      <c r="B43" s="99" t="s">
        <v>1215</v>
      </c>
      <c r="C43" s="99">
        <v>9551095920</v>
      </c>
      <c r="D43" s="99" t="s">
        <v>1216</v>
      </c>
      <c r="E43" s="17" t="s">
        <v>48</v>
      </c>
      <c r="F43" s="99" t="s">
        <v>33</v>
      </c>
      <c r="G43" s="99" t="s">
        <v>33</v>
      </c>
      <c r="H43" s="99" t="s">
        <v>33</v>
      </c>
      <c r="I43" s="99" t="s">
        <v>67</v>
      </c>
      <c r="J43" s="99" t="s">
        <v>33</v>
      </c>
      <c r="K43" s="99" t="s">
        <v>67</v>
      </c>
      <c r="L43" s="99" t="s">
        <v>33</v>
      </c>
      <c r="M43" s="99" t="s">
        <v>33</v>
      </c>
      <c r="N43" s="49" t="s">
        <v>33</v>
      </c>
      <c r="O43" s="49" t="s">
        <v>33</v>
      </c>
      <c r="P43" s="99" t="s">
        <v>1217</v>
      </c>
      <c r="Q43" s="99" t="s">
        <v>1218</v>
      </c>
      <c r="R43" s="99" t="s">
        <v>1219</v>
      </c>
      <c r="S43" s="99" t="s">
        <v>33</v>
      </c>
      <c r="T43" s="99"/>
      <c r="U43" s="99"/>
      <c r="V43" s="99"/>
      <c r="W43" s="99"/>
      <c r="X43" s="99"/>
      <c r="Y43" s="99"/>
      <c r="Z43" s="99"/>
      <c r="AA43" s="99"/>
      <c r="AB43" s="99"/>
    </row>
    <row r="44" spans="1:28" ht="15.75" customHeight="1">
      <c r="A44" s="98">
        <v>46212</v>
      </c>
      <c r="B44" s="99" t="s">
        <v>957</v>
      </c>
      <c r="C44" s="99">
        <v>9677076903</v>
      </c>
      <c r="D44" s="99" t="s">
        <v>958</v>
      </c>
      <c r="E44" s="17" t="s">
        <v>25</v>
      </c>
      <c r="F44" s="99" t="s">
        <v>33</v>
      </c>
      <c r="G44" s="99" t="s">
        <v>33</v>
      </c>
      <c r="H44" s="99"/>
      <c r="I44" s="99"/>
      <c r="J44" s="99"/>
      <c r="K44" s="99"/>
      <c r="L44" s="99" t="s">
        <v>33</v>
      </c>
      <c r="M44" s="99" t="s">
        <v>33</v>
      </c>
      <c r="N44" s="49" t="s">
        <v>33</v>
      </c>
      <c r="O44" s="49" t="s">
        <v>33</v>
      </c>
      <c r="P44" s="99" t="s">
        <v>959</v>
      </c>
      <c r="Q44" s="99" t="s">
        <v>1220</v>
      </c>
      <c r="R44" s="99" t="s">
        <v>961</v>
      </c>
      <c r="S44" s="50" t="s">
        <v>40</v>
      </c>
      <c r="T44" s="99" t="s">
        <v>33</v>
      </c>
      <c r="U44" s="99"/>
      <c r="V44" s="99"/>
      <c r="W44" s="99" t="s">
        <v>33</v>
      </c>
      <c r="X44" s="99"/>
      <c r="Y44" s="99" t="s">
        <v>33</v>
      </c>
      <c r="Z44" s="99" t="s">
        <v>33</v>
      </c>
      <c r="AA44" s="99"/>
      <c r="AB44" s="99"/>
    </row>
    <row r="45" spans="1:28" ht="15.75" customHeight="1">
      <c r="A45" s="98">
        <v>46212</v>
      </c>
      <c r="B45" s="99" t="s">
        <v>1221</v>
      </c>
      <c r="C45" s="99">
        <v>9840876725</v>
      </c>
      <c r="D45" s="99" t="s">
        <v>1222</v>
      </c>
      <c r="E45" s="17" t="s">
        <v>25</v>
      </c>
      <c r="F45" s="99" t="s">
        <v>33</v>
      </c>
      <c r="G45" s="99" t="s">
        <v>33</v>
      </c>
      <c r="H45" s="99"/>
      <c r="I45" s="99"/>
      <c r="J45" s="99"/>
      <c r="K45" s="99"/>
      <c r="L45" s="99" t="s">
        <v>33</v>
      </c>
      <c r="M45" s="99" t="s">
        <v>33</v>
      </c>
      <c r="N45" s="49" t="s">
        <v>33</v>
      </c>
      <c r="O45" s="49" t="s">
        <v>33</v>
      </c>
      <c r="P45" s="99" t="s">
        <v>1075</v>
      </c>
      <c r="Q45" s="99" t="s">
        <v>1223</v>
      </c>
      <c r="R45" s="99" t="s">
        <v>1224</v>
      </c>
      <c r="S45" s="99" t="s">
        <v>33</v>
      </c>
      <c r="T45" s="99" t="s">
        <v>33</v>
      </c>
      <c r="U45" s="99"/>
      <c r="V45" s="99"/>
      <c r="W45" s="99"/>
      <c r="X45" s="99"/>
      <c r="Y45" s="99"/>
      <c r="Z45" s="99"/>
      <c r="AA45" s="99"/>
      <c r="AB45" s="99" t="s">
        <v>33</v>
      </c>
    </row>
    <row r="46" spans="1:28" ht="15.75" customHeight="1">
      <c r="A46" s="98">
        <v>46212</v>
      </c>
      <c r="B46" s="99" t="s">
        <v>1225</v>
      </c>
      <c r="C46" s="99">
        <v>6369469149</v>
      </c>
      <c r="D46" s="99" t="s">
        <v>1226</v>
      </c>
      <c r="E46" s="17" t="s">
        <v>48</v>
      </c>
      <c r="F46" s="99" t="s">
        <v>33</v>
      </c>
      <c r="G46" s="99" t="s">
        <v>33</v>
      </c>
      <c r="H46" s="99" t="s">
        <v>33</v>
      </c>
      <c r="I46" s="99" t="s">
        <v>1227</v>
      </c>
      <c r="J46" s="99"/>
      <c r="K46" s="99"/>
      <c r="L46" s="99" t="s">
        <v>33</v>
      </c>
      <c r="M46" s="99" t="s">
        <v>33</v>
      </c>
      <c r="N46" s="49" t="s">
        <v>33</v>
      </c>
      <c r="O46" s="49" t="s">
        <v>33</v>
      </c>
      <c r="P46" s="99" t="s">
        <v>1228</v>
      </c>
      <c r="Q46" s="99" t="s">
        <v>1229</v>
      </c>
      <c r="R46" s="99" t="s">
        <v>1230</v>
      </c>
      <c r="S46" s="49" t="s">
        <v>40</v>
      </c>
      <c r="T46" s="99"/>
      <c r="U46" s="99"/>
      <c r="V46" s="99"/>
      <c r="W46" s="99"/>
      <c r="X46" s="99"/>
      <c r="Y46" s="99"/>
      <c r="Z46" s="99"/>
      <c r="AA46" s="99"/>
      <c r="AB46" s="99"/>
    </row>
    <row r="47" spans="1:28" ht="15.75" customHeight="1">
      <c r="A47" s="98">
        <v>46212</v>
      </c>
      <c r="B47" s="99" t="s">
        <v>1231</v>
      </c>
      <c r="C47" s="99">
        <v>9894912817</v>
      </c>
      <c r="D47" s="99" t="s">
        <v>1232</v>
      </c>
      <c r="E47" s="17" t="s">
        <v>48</v>
      </c>
      <c r="F47" s="99" t="s">
        <v>33</v>
      </c>
      <c r="G47" s="99" t="s">
        <v>33</v>
      </c>
      <c r="H47" s="99" t="s">
        <v>33</v>
      </c>
      <c r="I47" s="99" t="s">
        <v>67</v>
      </c>
      <c r="J47" s="99" t="s">
        <v>33</v>
      </c>
      <c r="K47" s="99" t="s">
        <v>1233</v>
      </c>
      <c r="L47" s="99" t="s">
        <v>33</v>
      </c>
      <c r="M47" s="99" t="s">
        <v>33</v>
      </c>
      <c r="N47" s="49" t="s">
        <v>33</v>
      </c>
      <c r="O47" s="49" t="s">
        <v>33</v>
      </c>
      <c r="P47" s="39" t="s">
        <v>657</v>
      </c>
      <c r="Q47" s="39" t="s">
        <v>393</v>
      </c>
      <c r="R47" s="99" t="s">
        <v>1234</v>
      </c>
      <c r="S47" s="99" t="s">
        <v>33</v>
      </c>
      <c r="T47" s="99"/>
      <c r="U47" s="99"/>
      <c r="V47" s="99"/>
      <c r="W47" s="99"/>
      <c r="X47" s="99"/>
      <c r="Y47" s="99"/>
      <c r="Z47" s="99"/>
      <c r="AA47" s="99"/>
      <c r="AB47" s="99"/>
    </row>
    <row r="48" spans="1:28" ht="17.25" customHeight="1">
      <c r="A48" s="98">
        <v>46213</v>
      </c>
      <c r="B48" s="99" t="s">
        <v>1235</v>
      </c>
      <c r="C48" s="99">
        <v>7010942756</v>
      </c>
      <c r="D48" s="99" t="s">
        <v>1236</v>
      </c>
      <c r="E48" s="17" t="s">
        <v>48</v>
      </c>
      <c r="F48" s="99" t="s">
        <v>33</v>
      </c>
      <c r="G48" s="99" t="s">
        <v>33</v>
      </c>
      <c r="H48" s="99" t="s">
        <v>33</v>
      </c>
      <c r="I48" s="99" t="s">
        <v>1237</v>
      </c>
      <c r="J48" s="99" t="s">
        <v>33</v>
      </c>
      <c r="K48" s="99" t="s">
        <v>1238</v>
      </c>
      <c r="L48" s="99" t="s">
        <v>33</v>
      </c>
      <c r="M48" s="99" t="s">
        <v>33</v>
      </c>
      <c r="N48" s="49" t="s">
        <v>33</v>
      </c>
      <c r="O48" s="49" t="s">
        <v>33</v>
      </c>
      <c r="P48" s="53" t="s">
        <v>216</v>
      </c>
      <c r="Q48" s="53" t="s">
        <v>216</v>
      </c>
      <c r="R48" s="99" t="s">
        <v>1239</v>
      </c>
      <c r="S48" s="49" t="s">
        <v>40</v>
      </c>
      <c r="T48" s="99"/>
      <c r="U48" s="99"/>
      <c r="V48" s="99"/>
      <c r="W48" s="99"/>
      <c r="X48" s="99"/>
      <c r="Y48" s="99"/>
      <c r="Z48" s="99"/>
      <c r="AA48" s="99"/>
      <c r="AB48" s="99"/>
    </row>
    <row r="49" spans="1:28">
      <c r="A49" s="98">
        <v>46213</v>
      </c>
      <c r="B49" s="99" t="s">
        <v>30</v>
      </c>
      <c r="C49" s="99">
        <v>8105047843</v>
      </c>
      <c r="D49" s="99" t="s">
        <v>31</v>
      </c>
      <c r="E49" s="99" t="s">
        <v>319</v>
      </c>
      <c r="F49" s="99" t="s">
        <v>33</v>
      </c>
      <c r="G49" s="60" t="s">
        <v>37</v>
      </c>
      <c r="H49" s="99" t="s">
        <v>300</v>
      </c>
      <c r="I49" s="99" t="s">
        <v>35</v>
      </c>
      <c r="J49" s="99" t="s">
        <v>300</v>
      </c>
      <c r="K49" s="99" t="s">
        <v>304</v>
      </c>
      <c r="L49" s="99" t="s">
        <v>33</v>
      </c>
      <c r="M49" s="99" t="s">
        <v>33</v>
      </c>
      <c r="N49" s="49" t="s">
        <v>33</v>
      </c>
      <c r="O49" s="49" t="s">
        <v>33</v>
      </c>
      <c r="P49" s="99" t="s">
        <v>511</v>
      </c>
      <c r="Q49" s="99" t="s">
        <v>38</v>
      </c>
      <c r="R49" s="99" t="s">
        <v>201</v>
      </c>
      <c r="S49" s="50" t="s">
        <v>40</v>
      </c>
      <c r="T49" s="99"/>
      <c r="U49" s="99"/>
      <c r="V49" s="99"/>
      <c r="W49" s="99"/>
      <c r="X49" s="99"/>
      <c r="Y49" s="99"/>
      <c r="Z49" s="99"/>
      <c r="AA49" s="99"/>
      <c r="AB49" s="99"/>
    </row>
    <row r="50" spans="1:28">
      <c r="A50" s="98">
        <v>46216</v>
      </c>
      <c r="B50" s="99" t="s">
        <v>1240</v>
      </c>
      <c r="C50" s="99">
        <v>9092083544</v>
      </c>
      <c r="D50" s="99" t="s">
        <v>1241</v>
      </c>
      <c r="E50" s="99" t="s">
        <v>86</v>
      </c>
      <c r="F50" s="99" t="s">
        <v>33</v>
      </c>
      <c r="G50" s="99" t="s">
        <v>33</v>
      </c>
      <c r="H50" s="99" t="s">
        <v>33</v>
      </c>
      <c r="I50" s="99" t="s">
        <v>67</v>
      </c>
      <c r="J50" s="99" t="s">
        <v>33</v>
      </c>
      <c r="K50" s="99" t="s">
        <v>67</v>
      </c>
      <c r="L50" s="99" t="s">
        <v>33</v>
      </c>
      <c r="M50" s="99" t="s">
        <v>33</v>
      </c>
      <c r="N50" s="49" t="s">
        <v>33</v>
      </c>
      <c r="O50" s="49" t="s">
        <v>33</v>
      </c>
      <c r="P50" s="99" t="s">
        <v>1242</v>
      </c>
      <c r="Q50" s="99" t="s">
        <v>861</v>
      </c>
      <c r="R50" s="99" t="s">
        <v>1243</v>
      </c>
      <c r="S50" s="49" t="s">
        <v>40</v>
      </c>
      <c r="T50" s="99"/>
      <c r="U50" s="99"/>
      <c r="V50" s="99"/>
      <c r="W50" s="99"/>
      <c r="X50" s="99"/>
      <c r="Y50" s="99"/>
      <c r="Z50" s="99"/>
      <c r="AA50" s="99"/>
      <c r="AB50" s="99"/>
    </row>
    <row r="51" spans="1:28">
      <c r="A51" s="98">
        <v>46216</v>
      </c>
      <c r="B51" s="99" t="s">
        <v>1244</v>
      </c>
      <c r="C51" s="99">
        <v>9345749943</v>
      </c>
      <c r="D51" s="55" t="s">
        <v>1245</v>
      </c>
      <c r="E51" s="99" t="s">
        <v>48</v>
      </c>
      <c r="F51" s="99" t="s">
        <v>33</v>
      </c>
      <c r="G51" s="99" t="s">
        <v>33</v>
      </c>
      <c r="H51" s="99"/>
      <c r="I51" s="99"/>
      <c r="J51" s="99"/>
      <c r="K51" s="99"/>
      <c r="L51" s="99" t="s">
        <v>33</v>
      </c>
      <c r="M51" s="99" t="s">
        <v>33</v>
      </c>
      <c r="N51" s="49" t="s">
        <v>33</v>
      </c>
      <c r="O51" s="49" t="s">
        <v>33</v>
      </c>
      <c r="P51" s="99"/>
      <c r="Q51" s="99"/>
      <c r="R51" s="99"/>
      <c r="S51" s="99"/>
      <c r="T51" s="99"/>
      <c r="U51" s="99"/>
      <c r="V51" s="99"/>
      <c r="W51" s="99"/>
      <c r="X51" s="99"/>
      <c r="Y51" s="99"/>
      <c r="Z51" s="99"/>
      <c r="AA51" s="99"/>
      <c r="AB51" s="99"/>
    </row>
    <row r="52" spans="1:28">
      <c r="A52" s="98">
        <v>46217</v>
      </c>
      <c r="B52" s="99" t="s">
        <v>1246</v>
      </c>
      <c r="C52" s="99">
        <v>9080993616</v>
      </c>
      <c r="D52" s="55" t="s">
        <v>1247</v>
      </c>
      <c r="E52" s="99" t="s">
        <v>86</v>
      </c>
      <c r="F52" s="99" t="s">
        <v>33</v>
      </c>
      <c r="G52" s="99" t="s">
        <v>33</v>
      </c>
      <c r="H52" s="99"/>
      <c r="I52" s="99"/>
      <c r="J52" s="99"/>
      <c r="K52" s="99"/>
      <c r="L52" s="99" t="s">
        <v>33</v>
      </c>
      <c r="M52" s="99" t="s">
        <v>33</v>
      </c>
      <c r="N52" s="49" t="s">
        <v>33</v>
      </c>
      <c r="O52" s="49" t="s">
        <v>33</v>
      </c>
      <c r="P52" s="99"/>
      <c r="Q52" s="99"/>
      <c r="R52" s="99"/>
      <c r="S52" s="99"/>
      <c r="T52" s="99"/>
      <c r="U52" s="99"/>
      <c r="V52" s="99"/>
      <c r="W52" s="99"/>
      <c r="X52" s="99"/>
      <c r="Y52" s="99"/>
      <c r="Z52" s="99"/>
      <c r="AA52" s="99"/>
      <c r="AB52" s="99"/>
    </row>
    <row r="53" spans="1:28" ht="17.25" customHeight="1">
      <c r="A53" s="98">
        <v>46217</v>
      </c>
      <c r="B53" s="99" t="s">
        <v>1248</v>
      </c>
      <c r="C53" s="99">
        <v>8375905995</v>
      </c>
      <c r="D53" s="99" t="s">
        <v>1249</v>
      </c>
      <c r="E53" s="99" t="s">
        <v>25</v>
      </c>
      <c r="F53" s="99" t="s">
        <v>33</v>
      </c>
      <c r="G53" s="99" t="s">
        <v>33</v>
      </c>
      <c r="H53" s="99"/>
      <c r="I53" s="99"/>
      <c r="J53" s="99"/>
      <c r="K53" s="99"/>
      <c r="L53" s="99" t="s">
        <v>33</v>
      </c>
      <c r="M53" s="99" t="s">
        <v>33</v>
      </c>
      <c r="N53" s="49" t="s">
        <v>33</v>
      </c>
      <c r="O53" s="49" t="s">
        <v>33</v>
      </c>
      <c r="P53" s="53" t="s">
        <v>1250</v>
      </c>
      <c r="Q53" s="53" t="s">
        <v>1251</v>
      </c>
      <c r="R53" s="99" t="s">
        <v>1252</v>
      </c>
      <c r="S53" s="99" t="s">
        <v>33</v>
      </c>
      <c r="T53" s="99"/>
      <c r="U53" s="99"/>
      <c r="V53" s="99"/>
      <c r="W53" s="99"/>
      <c r="X53" s="99"/>
      <c r="Y53" s="99"/>
      <c r="Z53" s="99"/>
      <c r="AA53" s="99"/>
      <c r="AB53" s="99"/>
    </row>
    <row r="54" spans="1:28">
      <c r="A54" s="98">
        <v>46218</v>
      </c>
      <c r="B54" s="99" t="s">
        <v>1253</v>
      </c>
      <c r="C54" s="99">
        <v>7829191888</v>
      </c>
      <c r="D54" s="99" t="s">
        <v>1254</v>
      </c>
      <c r="E54" s="99" t="s">
        <v>48</v>
      </c>
      <c r="F54" s="99" t="s">
        <v>33</v>
      </c>
      <c r="G54" s="99" t="s">
        <v>33</v>
      </c>
      <c r="H54" s="99" t="s">
        <v>33</v>
      </c>
      <c r="I54" s="99" t="s">
        <v>1255</v>
      </c>
      <c r="J54" s="99" t="s">
        <v>300</v>
      </c>
      <c r="K54" s="99" t="s">
        <v>1256</v>
      </c>
      <c r="L54" s="99" t="s">
        <v>33</v>
      </c>
      <c r="M54" s="99" t="s">
        <v>33</v>
      </c>
      <c r="N54" s="49" t="s">
        <v>33</v>
      </c>
      <c r="O54" s="49" t="s">
        <v>33</v>
      </c>
      <c r="P54" s="99" t="s">
        <v>1257</v>
      </c>
      <c r="Q54" s="99" t="s">
        <v>1258</v>
      </c>
      <c r="R54" s="99" t="s">
        <v>1259</v>
      </c>
      <c r="S54" s="49" t="s">
        <v>40</v>
      </c>
      <c r="T54" s="99"/>
      <c r="U54" s="99"/>
      <c r="V54" s="99"/>
      <c r="W54" s="99"/>
      <c r="X54" s="99"/>
      <c r="Y54" s="99" t="s">
        <v>33</v>
      </c>
      <c r="Z54" s="99"/>
      <c r="AA54" s="99"/>
      <c r="AB54" s="99"/>
    </row>
    <row r="55" spans="1:28" ht="16.5" customHeight="1">
      <c r="A55" s="98">
        <v>46218</v>
      </c>
      <c r="B55" s="99" t="s">
        <v>988</v>
      </c>
      <c r="C55" s="99">
        <v>7010277967</v>
      </c>
      <c r="D55" s="99" t="s">
        <v>989</v>
      </c>
      <c r="E55" s="99" t="s">
        <v>25</v>
      </c>
      <c r="F55" s="99" t="s">
        <v>33</v>
      </c>
      <c r="G55" s="99" t="s">
        <v>33</v>
      </c>
      <c r="H55" s="99"/>
      <c r="I55" s="99"/>
      <c r="J55" s="99"/>
      <c r="K55" s="99"/>
      <c r="L55" s="99" t="s">
        <v>33</v>
      </c>
      <c r="M55" s="99" t="s">
        <v>33</v>
      </c>
      <c r="N55" s="49" t="s">
        <v>33</v>
      </c>
      <c r="O55" s="49" t="s">
        <v>33</v>
      </c>
      <c r="P55" s="99" t="s">
        <v>990</v>
      </c>
      <c r="Q55" s="69" t="s">
        <v>991</v>
      </c>
      <c r="R55" s="99" t="s">
        <v>992</v>
      </c>
      <c r="S55" s="49" t="s">
        <v>40</v>
      </c>
      <c r="T55" s="99" t="s">
        <v>33</v>
      </c>
      <c r="U55" s="99" t="s">
        <v>33</v>
      </c>
      <c r="V55" s="99"/>
      <c r="W55" s="99"/>
      <c r="X55" s="99"/>
      <c r="Y55" s="99"/>
      <c r="Z55" s="99"/>
      <c r="AA55" s="99"/>
      <c r="AB55" s="99"/>
    </row>
    <row r="56" spans="1:28">
      <c r="A56" s="98">
        <v>46218</v>
      </c>
      <c r="B56" s="99" t="s">
        <v>1260</v>
      </c>
      <c r="C56" s="99">
        <v>9342207993</v>
      </c>
      <c r="D56" s="99" t="s">
        <v>1261</v>
      </c>
      <c r="E56" s="99" t="s">
        <v>48</v>
      </c>
      <c r="F56" s="99" t="s">
        <v>33</v>
      </c>
      <c r="G56" s="99" t="s">
        <v>33</v>
      </c>
      <c r="H56" s="99" t="s">
        <v>33</v>
      </c>
      <c r="I56" s="99" t="s">
        <v>1262</v>
      </c>
      <c r="J56" s="99" t="s">
        <v>300</v>
      </c>
      <c r="K56" s="99" t="s">
        <v>341</v>
      </c>
      <c r="L56" s="99" t="s">
        <v>33</v>
      </c>
      <c r="M56" s="99" t="s">
        <v>33</v>
      </c>
      <c r="N56" s="49" t="s">
        <v>33</v>
      </c>
      <c r="O56" s="49" t="s">
        <v>33</v>
      </c>
      <c r="P56" s="99" t="s">
        <v>1263</v>
      </c>
      <c r="Q56" s="99" t="s">
        <v>1264</v>
      </c>
      <c r="R56" s="99" t="s">
        <v>1265</v>
      </c>
      <c r="S56" s="49" t="s">
        <v>33</v>
      </c>
      <c r="T56" s="99"/>
      <c r="U56" s="99"/>
      <c r="V56" s="99"/>
      <c r="W56" s="99"/>
      <c r="X56" s="99"/>
      <c r="Y56" s="99"/>
      <c r="Z56" s="99"/>
      <c r="AA56" s="99"/>
      <c r="AB56" s="99"/>
    </row>
    <row r="57" spans="1:28">
      <c r="A57" s="98">
        <v>46219</v>
      </c>
      <c r="B57" s="99" t="s">
        <v>1266</v>
      </c>
      <c r="C57" s="99">
        <v>9941157809</v>
      </c>
      <c r="D57" s="99" t="s">
        <v>1196</v>
      </c>
      <c r="E57" s="99" t="s">
        <v>25</v>
      </c>
      <c r="F57" s="99" t="s">
        <v>1181</v>
      </c>
      <c r="G57" s="99" t="s">
        <v>33</v>
      </c>
      <c r="H57" s="99"/>
      <c r="I57" s="99"/>
      <c r="J57" s="99"/>
      <c r="K57" s="99"/>
      <c r="L57" s="99" t="s">
        <v>33</v>
      </c>
      <c r="M57" s="99" t="s">
        <v>33</v>
      </c>
      <c r="N57" s="49" t="s">
        <v>33</v>
      </c>
      <c r="O57" s="49" t="s">
        <v>33</v>
      </c>
      <c r="P57" s="99"/>
      <c r="Q57" s="99"/>
      <c r="R57" s="99" t="s">
        <v>1197</v>
      </c>
      <c r="S57" s="50" t="s">
        <v>40</v>
      </c>
      <c r="T57" s="99"/>
      <c r="U57" s="99"/>
      <c r="V57" s="99"/>
      <c r="W57" s="99"/>
      <c r="X57" s="99"/>
      <c r="Y57" s="99"/>
      <c r="Z57" s="99"/>
      <c r="AA57" s="99"/>
      <c r="AB57" s="99"/>
    </row>
    <row r="58" spans="1:28">
      <c r="A58" s="98">
        <v>46219</v>
      </c>
      <c r="B58" s="99" t="s">
        <v>1212</v>
      </c>
      <c r="C58" s="99">
        <v>9901492921</v>
      </c>
      <c r="D58" s="99" t="s">
        <v>1267</v>
      </c>
      <c r="E58" s="99" t="s">
        <v>86</v>
      </c>
      <c r="F58" s="99" t="s">
        <v>1181</v>
      </c>
      <c r="G58" s="99" t="s">
        <v>33</v>
      </c>
      <c r="H58" s="99" t="s">
        <v>33</v>
      </c>
      <c r="I58" s="99" t="s">
        <v>67</v>
      </c>
      <c r="J58" s="99" t="s">
        <v>300</v>
      </c>
      <c r="K58" s="99" t="s">
        <v>304</v>
      </c>
      <c r="L58" s="99" t="s">
        <v>33</v>
      </c>
      <c r="M58" s="99" t="s">
        <v>33</v>
      </c>
      <c r="N58" s="49" t="s">
        <v>33</v>
      </c>
      <c r="O58" s="49" t="s">
        <v>33</v>
      </c>
      <c r="P58" s="99" t="s">
        <v>476</v>
      </c>
      <c r="Q58" s="99" t="s">
        <v>234</v>
      </c>
      <c r="R58" s="99" t="s">
        <v>1268</v>
      </c>
      <c r="S58" s="99" t="s">
        <v>33</v>
      </c>
      <c r="T58" s="99" t="s">
        <v>33</v>
      </c>
      <c r="U58" s="99"/>
      <c r="V58" s="99"/>
      <c r="W58" s="99"/>
      <c r="X58" s="99"/>
      <c r="Y58" s="99" t="s">
        <v>33</v>
      </c>
      <c r="Z58" s="99"/>
      <c r="AA58" s="99"/>
      <c r="AB58" s="99"/>
    </row>
    <row r="59" spans="1:28">
      <c r="A59" s="98">
        <v>46220</v>
      </c>
      <c r="B59" s="99" t="s">
        <v>1269</v>
      </c>
      <c r="C59" s="99">
        <v>8220932719</v>
      </c>
      <c r="D59" s="99" t="s">
        <v>1270</v>
      </c>
      <c r="E59" s="99" t="s">
        <v>130</v>
      </c>
      <c r="F59" s="99" t="s">
        <v>33</v>
      </c>
      <c r="G59" s="99" t="s">
        <v>33</v>
      </c>
      <c r="H59" s="99" t="s">
        <v>33</v>
      </c>
      <c r="I59" s="99" t="s">
        <v>482</v>
      </c>
      <c r="J59" s="99" t="s">
        <v>33</v>
      </c>
      <c r="K59" s="99" t="s">
        <v>304</v>
      </c>
      <c r="L59" s="99" t="s">
        <v>33</v>
      </c>
      <c r="M59" s="99" t="s">
        <v>33</v>
      </c>
      <c r="N59" s="49" t="s">
        <v>33</v>
      </c>
      <c r="O59" s="49" t="s">
        <v>33</v>
      </c>
      <c r="P59" s="99" t="s">
        <v>1271</v>
      </c>
      <c r="Q59" s="99" t="s">
        <v>1272</v>
      </c>
      <c r="R59" s="99" t="s">
        <v>1273</v>
      </c>
      <c r="S59" s="49" t="s">
        <v>40</v>
      </c>
      <c r="T59" s="99" t="s">
        <v>33</v>
      </c>
      <c r="U59" s="99" t="s">
        <v>33</v>
      </c>
      <c r="V59" s="99"/>
      <c r="W59" s="99"/>
      <c r="X59" s="99"/>
      <c r="Y59" s="99"/>
      <c r="Z59" s="99"/>
      <c r="AA59" s="99"/>
      <c r="AB59" s="99"/>
    </row>
    <row r="60" spans="1:28">
      <c r="A60" s="98">
        <v>46220</v>
      </c>
      <c r="B60" s="99" t="s">
        <v>1274</v>
      </c>
      <c r="C60" s="99">
        <v>9494742784</v>
      </c>
      <c r="D60" s="99" t="s">
        <v>1275</v>
      </c>
      <c r="E60" s="99" t="s">
        <v>43</v>
      </c>
      <c r="F60" s="99" t="s">
        <v>33</v>
      </c>
      <c r="G60" s="99" t="s">
        <v>33</v>
      </c>
      <c r="H60" s="99"/>
      <c r="I60" s="99"/>
      <c r="J60" s="99"/>
      <c r="K60" s="99"/>
      <c r="L60" s="99" t="s">
        <v>33</v>
      </c>
      <c r="M60" s="99" t="s">
        <v>33</v>
      </c>
      <c r="N60" s="49" t="s">
        <v>33</v>
      </c>
      <c r="O60" s="49" t="s">
        <v>33</v>
      </c>
      <c r="P60" s="99"/>
      <c r="Q60" s="99"/>
      <c r="R60" s="99"/>
      <c r="S60" s="99"/>
      <c r="T60" s="99"/>
      <c r="U60" s="99"/>
      <c r="V60" s="99"/>
      <c r="W60" s="99"/>
      <c r="X60" s="99"/>
      <c r="Y60" s="99"/>
      <c r="Z60" s="99"/>
      <c r="AA60" s="99"/>
      <c r="AB60" s="99"/>
    </row>
    <row r="61" spans="1:28">
      <c r="A61" s="98">
        <v>46220</v>
      </c>
      <c r="B61" s="99" t="s">
        <v>1276</v>
      </c>
      <c r="C61" s="99">
        <v>9908575330</v>
      </c>
      <c r="D61" s="99" t="s">
        <v>1277</v>
      </c>
      <c r="E61" s="99" t="s">
        <v>48</v>
      </c>
      <c r="F61" s="99" t="s">
        <v>1181</v>
      </c>
      <c r="G61" s="60" t="s">
        <v>37</v>
      </c>
      <c r="H61" s="99" t="s">
        <v>33</v>
      </c>
      <c r="I61" s="99" t="s">
        <v>1278</v>
      </c>
      <c r="J61" s="99" t="s">
        <v>33</v>
      </c>
      <c r="K61" s="99" t="s">
        <v>1278</v>
      </c>
      <c r="L61" s="99" t="s">
        <v>33</v>
      </c>
      <c r="M61" s="99" t="s">
        <v>33</v>
      </c>
      <c r="N61" s="49" t="s">
        <v>33</v>
      </c>
      <c r="O61" s="49" t="s">
        <v>33</v>
      </c>
      <c r="P61" s="99" t="s">
        <v>1279</v>
      </c>
      <c r="Q61" s="99" t="s">
        <v>399</v>
      </c>
      <c r="R61" s="99" t="s">
        <v>1280</v>
      </c>
      <c r="S61" s="50" t="s">
        <v>40</v>
      </c>
      <c r="T61" s="99"/>
      <c r="U61" s="99"/>
      <c r="V61" s="99"/>
      <c r="W61" s="99"/>
      <c r="X61" s="99"/>
      <c r="Y61" s="99"/>
      <c r="Z61" s="99"/>
      <c r="AA61" s="99"/>
      <c r="AB61" s="99"/>
    </row>
    <row r="62" spans="1:28">
      <c r="A62" s="98">
        <v>46224</v>
      </c>
      <c r="B62" s="99" t="s">
        <v>1281</v>
      </c>
      <c r="C62" s="99">
        <v>9841098386</v>
      </c>
      <c r="D62" s="99" t="s">
        <v>1282</v>
      </c>
      <c r="E62" s="99" t="s">
        <v>25</v>
      </c>
      <c r="F62" s="99" t="s">
        <v>97</v>
      </c>
      <c r="G62" s="99" t="s">
        <v>33</v>
      </c>
      <c r="H62" s="99"/>
      <c r="I62" s="99"/>
      <c r="J62" s="99"/>
      <c r="K62" s="99"/>
      <c r="L62" s="99" t="s">
        <v>33</v>
      </c>
      <c r="M62" s="99" t="s">
        <v>33</v>
      </c>
      <c r="N62" s="49" t="s">
        <v>33</v>
      </c>
      <c r="O62" s="49" t="s">
        <v>33</v>
      </c>
      <c r="P62" s="99"/>
      <c r="Q62" s="99"/>
      <c r="R62" s="99"/>
      <c r="S62" s="99"/>
      <c r="T62" s="99"/>
      <c r="U62" s="99"/>
      <c r="V62" s="99"/>
      <c r="W62" s="99"/>
      <c r="X62" s="99"/>
      <c r="Y62" s="99"/>
      <c r="Z62" s="99"/>
      <c r="AA62" s="99"/>
      <c r="AB62" s="99"/>
    </row>
    <row r="63" spans="1:28">
      <c r="A63" s="98">
        <v>46224</v>
      </c>
      <c r="B63" s="99" t="s">
        <v>1283</v>
      </c>
      <c r="C63" s="99">
        <v>9176425774</v>
      </c>
      <c r="D63" s="99" t="s">
        <v>1284</v>
      </c>
      <c r="E63" s="99" t="s">
        <v>86</v>
      </c>
      <c r="F63" s="99" t="s">
        <v>33</v>
      </c>
      <c r="G63" s="99" t="s">
        <v>33</v>
      </c>
      <c r="H63" s="99" t="s">
        <v>33</v>
      </c>
      <c r="I63" s="99" t="s">
        <v>67</v>
      </c>
      <c r="J63" s="99" t="s">
        <v>33</v>
      </c>
      <c r="K63" s="99" t="s">
        <v>304</v>
      </c>
      <c r="L63" s="99" t="s">
        <v>33</v>
      </c>
      <c r="M63" s="99" t="s">
        <v>33</v>
      </c>
      <c r="N63" s="49" t="s">
        <v>33</v>
      </c>
      <c r="O63" s="49" t="s">
        <v>33</v>
      </c>
      <c r="P63" s="99" t="s">
        <v>1285</v>
      </c>
      <c r="Q63" s="99" t="s">
        <v>1286</v>
      </c>
      <c r="R63" s="99" t="s">
        <v>1287</v>
      </c>
      <c r="S63" s="49" t="s">
        <v>40</v>
      </c>
      <c r="T63" s="99"/>
      <c r="U63" s="99"/>
      <c r="V63" s="99"/>
      <c r="W63" s="99"/>
      <c r="X63" s="99"/>
      <c r="Y63" s="99"/>
      <c r="Z63" s="99"/>
      <c r="AA63" s="99"/>
      <c r="AB63" s="99"/>
    </row>
    <row r="64" spans="1:28">
      <c r="A64" s="98">
        <v>46225</v>
      </c>
      <c r="B64" s="99" t="s">
        <v>1288</v>
      </c>
      <c r="C64" s="99">
        <v>6374123350</v>
      </c>
      <c r="D64" s="99" t="s">
        <v>1289</v>
      </c>
      <c r="E64" s="99" t="s">
        <v>48</v>
      </c>
      <c r="F64" s="99" t="s">
        <v>33</v>
      </c>
      <c r="G64" s="60" t="s">
        <v>37</v>
      </c>
      <c r="H64" s="99"/>
      <c r="I64" s="99"/>
      <c r="J64" s="99"/>
      <c r="K64" s="99"/>
      <c r="L64" s="99" t="s">
        <v>33</v>
      </c>
      <c r="M64" s="99" t="s">
        <v>33</v>
      </c>
      <c r="N64" s="49" t="s">
        <v>33</v>
      </c>
      <c r="O64" s="49" t="s">
        <v>33</v>
      </c>
      <c r="P64" s="99" t="s">
        <v>216</v>
      </c>
      <c r="Q64" s="99" t="s">
        <v>216</v>
      </c>
      <c r="R64" s="99" t="s">
        <v>1290</v>
      </c>
      <c r="S64" s="49" t="s">
        <v>40</v>
      </c>
      <c r="T64" s="99"/>
      <c r="U64" s="99"/>
      <c r="V64" s="99"/>
      <c r="W64" s="99"/>
      <c r="X64" s="99"/>
      <c r="Y64" s="99"/>
      <c r="Z64" s="99"/>
      <c r="AA64" s="99"/>
      <c r="AB64" s="99"/>
    </row>
    <row r="65" spans="1:28">
      <c r="A65" s="98">
        <v>46225</v>
      </c>
      <c r="B65" s="99" t="s">
        <v>1291</v>
      </c>
      <c r="C65" s="99">
        <v>9688674589</v>
      </c>
      <c r="D65" s="99" t="s">
        <v>1292</v>
      </c>
      <c r="E65" s="99" t="s">
        <v>43</v>
      </c>
      <c r="F65" s="99" t="s">
        <v>33</v>
      </c>
      <c r="G65" s="99" t="s">
        <v>33</v>
      </c>
      <c r="H65" s="99"/>
      <c r="I65" s="99"/>
      <c r="J65" s="99"/>
      <c r="K65" s="99"/>
      <c r="L65" s="99" t="s">
        <v>33</v>
      </c>
      <c r="M65" s="99" t="s">
        <v>33</v>
      </c>
      <c r="N65" s="49" t="s">
        <v>33</v>
      </c>
      <c r="O65" s="49" t="s">
        <v>33</v>
      </c>
      <c r="P65" s="99"/>
      <c r="Q65" s="99"/>
      <c r="R65" s="99"/>
      <c r="S65" s="99"/>
      <c r="T65" s="99"/>
      <c r="U65" s="99"/>
      <c r="V65" s="99"/>
      <c r="W65" s="99"/>
      <c r="X65" s="99"/>
      <c r="Y65" s="99"/>
      <c r="Z65" s="99"/>
      <c r="AA65" s="99"/>
      <c r="AB65" s="99"/>
    </row>
    <row r="66" spans="1:28">
      <c r="A66" s="98">
        <v>46225</v>
      </c>
      <c r="B66" s="99" t="s">
        <v>1293</v>
      </c>
      <c r="C66" s="99">
        <v>9080993616</v>
      </c>
      <c r="D66" s="99" t="s">
        <v>1294</v>
      </c>
      <c r="E66" s="99" t="s">
        <v>86</v>
      </c>
      <c r="F66" s="99" t="s">
        <v>1181</v>
      </c>
      <c r="G66" s="99" t="s">
        <v>33</v>
      </c>
      <c r="H66" s="99" t="s">
        <v>33</v>
      </c>
      <c r="I66" s="99" t="s">
        <v>482</v>
      </c>
      <c r="J66" s="99" t="s">
        <v>33</v>
      </c>
      <c r="K66" s="99" t="s">
        <v>304</v>
      </c>
      <c r="L66" s="99" t="s">
        <v>33</v>
      </c>
      <c r="M66" s="99" t="s">
        <v>33</v>
      </c>
      <c r="N66" s="49" t="s">
        <v>33</v>
      </c>
      <c r="O66" s="49" t="s">
        <v>33</v>
      </c>
      <c r="P66" s="39" t="s">
        <v>1295</v>
      </c>
      <c r="Q66" s="39" t="s">
        <v>1296</v>
      </c>
      <c r="R66" s="99" t="s">
        <v>1297</v>
      </c>
      <c r="S66" s="49" t="s">
        <v>40</v>
      </c>
      <c r="T66" s="99" t="s">
        <v>33</v>
      </c>
      <c r="U66" s="99" t="s">
        <v>33</v>
      </c>
      <c r="V66" s="99"/>
      <c r="W66" s="99"/>
      <c r="X66" s="99"/>
      <c r="Y66" s="99"/>
      <c r="Z66" s="99"/>
      <c r="AA66" s="99"/>
      <c r="AB66" s="99"/>
    </row>
    <row r="67" spans="1:28" ht="30" customHeight="1">
      <c r="A67" s="98">
        <v>46226</v>
      </c>
      <c r="B67" s="70" t="s">
        <v>1298</v>
      </c>
      <c r="C67" s="99">
        <v>9688674589</v>
      </c>
      <c r="D67" s="99" t="s">
        <v>1299</v>
      </c>
      <c r="E67" s="99" t="s">
        <v>43</v>
      </c>
      <c r="F67" s="99" t="s">
        <v>1181</v>
      </c>
      <c r="G67" s="99" t="s">
        <v>33</v>
      </c>
      <c r="H67" s="99"/>
      <c r="I67" s="99"/>
      <c r="J67" s="99"/>
      <c r="K67" s="99"/>
      <c r="L67" s="99" t="s">
        <v>33</v>
      </c>
      <c r="M67" s="99" t="s">
        <v>33</v>
      </c>
      <c r="N67" s="49" t="s">
        <v>33</v>
      </c>
      <c r="O67" s="49" t="s">
        <v>33</v>
      </c>
      <c r="P67" s="71" t="s">
        <v>1300</v>
      </c>
      <c r="Q67" s="72" t="s">
        <v>310</v>
      </c>
      <c r="R67" s="99" t="s">
        <v>1301</v>
      </c>
      <c r="S67" s="49" t="s">
        <v>40</v>
      </c>
      <c r="T67" s="99"/>
      <c r="U67" s="99"/>
      <c r="V67" s="99"/>
      <c r="W67" s="99"/>
      <c r="X67" s="99"/>
      <c r="Y67" s="99"/>
      <c r="Z67" s="99"/>
      <c r="AA67" s="99"/>
      <c r="AB67" s="99"/>
    </row>
    <row r="68" spans="1:28">
      <c r="A68" s="98">
        <v>46226</v>
      </c>
      <c r="B68" s="99" t="s">
        <v>95</v>
      </c>
      <c r="C68" s="99">
        <v>9940324366</v>
      </c>
      <c r="D68" s="99" t="s">
        <v>96</v>
      </c>
      <c r="E68" s="99" t="s">
        <v>86</v>
      </c>
      <c r="F68" s="99" t="s">
        <v>1181</v>
      </c>
      <c r="G68" s="99" t="s">
        <v>33</v>
      </c>
      <c r="H68" s="99"/>
      <c r="I68" s="99"/>
      <c r="J68" s="99"/>
      <c r="K68" s="99"/>
      <c r="L68" s="99" t="s">
        <v>33</v>
      </c>
      <c r="M68" s="99" t="s">
        <v>33</v>
      </c>
      <c r="N68" s="49" t="s">
        <v>33</v>
      </c>
      <c r="O68" s="49" t="s">
        <v>33</v>
      </c>
      <c r="P68" s="71" t="s">
        <v>1302</v>
      </c>
      <c r="Q68" s="99" t="s">
        <v>1303</v>
      </c>
      <c r="R68" s="99" t="s">
        <v>1304</v>
      </c>
      <c r="S68" s="50" t="s">
        <v>40</v>
      </c>
      <c r="T68" s="99" t="s">
        <v>33</v>
      </c>
      <c r="U68" s="99"/>
      <c r="V68" s="99"/>
      <c r="W68" s="99"/>
      <c r="X68" s="99"/>
      <c r="Y68" s="99"/>
      <c r="Z68" s="99"/>
      <c r="AA68" s="99"/>
      <c r="AB68" s="99"/>
    </row>
    <row r="69" spans="1:28">
      <c r="A69" s="98">
        <v>46227</v>
      </c>
      <c r="B69" s="99" t="s">
        <v>1305</v>
      </c>
      <c r="C69" s="99">
        <v>9578213425</v>
      </c>
      <c r="D69" s="99" t="s">
        <v>1306</v>
      </c>
      <c r="E69" s="99" t="s">
        <v>25</v>
      </c>
      <c r="F69" s="99" t="s">
        <v>33</v>
      </c>
      <c r="G69" s="99" t="s">
        <v>33</v>
      </c>
      <c r="H69" s="99"/>
      <c r="I69" s="99"/>
      <c r="J69" s="99"/>
      <c r="K69" s="99"/>
      <c r="L69" s="99" t="s">
        <v>33</v>
      </c>
      <c r="M69" s="99" t="s">
        <v>33</v>
      </c>
      <c r="N69" s="49" t="s">
        <v>33</v>
      </c>
      <c r="O69" s="49" t="s">
        <v>33</v>
      </c>
      <c r="P69" s="73" t="s">
        <v>1307</v>
      </c>
      <c r="Q69" s="73" t="s">
        <v>1308</v>
      </c>
      <c r="R69" s="99" t="s">
        <v>1309</v>
      </c>
      <c r="S69" s="99" t="s">
        <v>33</v>
      </c>
      <c r="T69" s="99"/>
      <c r="U69" s="99"/>
      <c r="V69" s="99"/>
      <c r="W69" s="99"/>
      <c r="X69" s="99"/>
      <c r="Y69" s="99"/>
      <c r="Z69" s="99"/>
      <c r="AA69" s="99"/>
      <c r="AB69" s="99"/>
    </row>
    <row r="70" spans="1:28">
      <c r="A70" s="98">
        <v>46227</v>
      </c>
      <c r="B70" s="99" t="s">
        <v>1310</v>
      </c>
      <c r="C70" s="99">
        <v>9952980334</v>
      </c>
      <c r="D70" s="99" t="s">
        <v>1311</v>
      </c>
      <c r="E70" s="99" t="s">
        <v>48</v>
      </c>
      <c r="F70" s="99" t="s">
        <v>33</v>
      </c>
      <c r="G70" s="99" t="s">
        <v>33</v>
      </c>
      <c r="H70" s="99"/>
      <c r="I70" s="99"/>
      <c r="J70" s="99"/>
      <c r="K70" s="99"/>
      <c r="L70" s="99" t="s">
        <v>33</v>
      </c>
      <c r="M70" s="99" t="s">
        <v>33</v>
      </c>
      <c r="N70" s="49" t="s">
        <v>33</v>
      </c>
      <c r="O70" s="49" t="s">
        <v>33</v>
      </c>
      <c r="P70" s="99"/>
      <c r="Q70" s="99"/>
      <c r="R70" s="99" t="s">
        <v>1312</v>
      </c>
      <c r="S70" s="50" t="s">
        <v>40</v>
      </c>
      <c r="T70" s="99"/>
      <c r="U70" s="99" t="s">
        <v>33</v>
      </c>
      <c r="V70" s="99"/>
      <c r="W70" s="99"/>
      <c r="X70" s="99"/>
      <c r="Y70" s="99" t="s">
        <v>33</v>
      </c>
      <c r="Z70" s="99"/>
      <c r="AA70" s="99"/>
      <c r="AB70" s="99"/>
    </row>
    <row r="71" spans="1:28">
      <c r="A71" s="98">
        <v>46227</v>
      </c>
      <c r="B71" s="99" t="s">
        <v>1313</v>
      </c>
      <c r="C71" s="99">
        <v>9791697538</v>
      </c>
      <c r="D71" s="99" t="s">
        <v>1314</v>
      </c>
      <c r="E71" s="99" t="s">
        <v>48</v>
      </c>
      <c r="F71" s="99" t="s">
        <v>33</v>
      </c>
      <c r="G71" s="99" t="s">
        <v>33</v>
      </c>
      <c r="H71" s="99" t="s">
        <v>33</v>
      </c>
      <c r="I71" s="99" t="s">
        <v>67</v>
      </c>
      <c r="J71" s="99" t="s">
        <v>33</v>
      </c>
      <c r="K71" s="99" t="s">
        <v>304</v>
      </c>
      <c r="L71" s="99" t="s">
        <v>33</v>
      </c>
      <c r="M71" s="99" t="s">
        <v>33</v>
      </c>
      <c r="N71" s="49" t="s">
        <v>33</v>
      </c>
      <c r="O71" s="49" t="s">
        <v>33</v>
      </c>
      <c r="P71" s="99" t="s">
        <v>1315</v>
      </c>
      <c r="Q71" s="99" t="s">
        <v>1316</v>
      </c>
      <c r="R71" s="99" t="s">
        <v>1317</v>
      </c>
      <c r="S71" s="50" t="s">
        <v>40</v>
      </c>
      <c r="T71" s="99"/>
      <c r="U71" s="99"/>
      <c r="V71" s="99"/>
      <c r="W71" s="99"/>
      <c r="X71" s="99"/>
      <c r="Y71" s="99"/>
      <c r="Z71" s="99"/>
      <c r="AA71" s="99"/>
      <c r="AB71" s="99"/>
    </row>
    <row r="72" spans="1:28">
      <c r="A72" s="98">
        <v>46230</v>
      </c>
      <c r="B72" s="99" t="s">
        <v>1318</v>
      </c>
      <c r="C72" s="99" t="s">
        <v>1319</v>
      </c>
      <c r="D72" s="99" t="s">
        <v>1320</v>
      </c>
      <c r="E72" s="99" t="s">
        <v>86</v>
      </c>
      <c r="F72" s="99" t="s">
        <v>1181</v>
      </c>
      <c r="G72" s="99" t="s">
        <v>300</v>
      </c>
      <c r="H72" s="99" t="s">
        <v>33</v>
      </c>
      <c r="I72" s="99" t="s">
        <v>482</v>
      </c>
      <c r="J72" s="99"/>
      <c r="K72" s="99"/>
      <c r="L72" s="99" t="s">
        <v>33</v>
      </c>
      <c r="M72" s="99" t="s">
        <v>33</v>
      </c>
      <c r="N72" s="49" t="s">
        <v>33</v>
      </c>
      <c r="O72" s="49" t="s">
        <v>33</v>
      </c>
      <c r="P72" s="99" t="s">
        <v>1271</v>
      </c>
      <c r="Q72" s="99" t="s">
        <v>1272</v>
      </c>
      <c r="R72" s="99" t="s">
        <v>1273</v>
      </c>
      <c r="S72" s="49" t="s">
        <v>40</v>
      </c>
      <c r="T72" s="99" t="s">
        <v>33</v>
      </c>
      <c r="U72" s="99" t="s">
        <v>33</v>
      </c>
      <c r="V72" s="99"/>
      <c r="W72" s="99"/>
      <c r="X72" s="99"/>
      <c r="Y72" s="99"/>
      <c r="Z72" s="99"/>
      <c r="AA72" s="99"/>
      <c r="AB72" s="99"/>
    </row>
    <row r="73" spans="1:28">
      <c r="A73" s="98">
        <v>46230</v>
      </c>
      <c r="B73" s="99" t="s">
        <v>1321</v>
      </c>
      <c r="C73" s="99">
        <v>9884833045</v>
      </c>
      <c r="D73" s="99" t="s">
        <v>1322</v>
      </c>
      <c r="E73" s="99" t="s">
        <v>86</v>
      </c>
      <c r="F73" s="99" t="s">
        <v>300</v>
      </c>
      <c r="G73" s="99" t="s">
        <v>33</v>
      </c>
      <c r="H73" s="99" t="s">
        <v>300</v>
      </c>
      <c r="I73" s="99" t="s">
        <v>944</v>
      </c>
      <c r="J73" s="99" t="s">
        <v>300</v>
      </c>
      <c r="K73" s="99" t="s">
        <v>1323</v>
      </c>
      <c r="L73" s="99" t="s">
        <v>33</v>
      </c>
      <c r="M73" s="99" t="s">
        <v>33</v>
      </c>
      <c r="N73" s="49" t="s">
        <v>33</v>
      </c>
      <c r="O73" s="49" t="s">
        <v>33</v>
      </c>
      <c r="P73" s="99" t="s">
        <v>945</v>
      </c>
      <c r="Q73" s="99" t="s">
        <v>946</v>
      </c>
      <c r="R73" s="99" t="s">
        <v>947</v>
      </c>
      <c r="S73" s="49" t="s">
        <v>40</v>
      </c>
      <c r="T73" s="99" t="s">
        <v>33</v>
      </c>
      <c r="U73" s="99"/>
      <c r="V73" s="99"/>
      <c r="W73" s="99" t="s">
        <v>33</v>
      </c>
      <c r="X73" s="99"/>
      <c r="Y73" s="99"/>
      <c r="Z73" s="99"/>
      <c r="AA73" s="99"/>
      <c r="AB73" s="99"/>
    </row>
    <row r="74" spans="1:28" ht="17.25" customHeight="1">
      <c r="A74" s="98">
        <v>46230</v>
      </c>
      <c r="B74" s="99" t="s">
        <v>953</v>
      </c>
      <c r="C74" s="99">
        <v>9043045481</v>
      </c>
      <c r="D74" s="99" t="s">
        <v>1324</v>
      </c>
      <c r="E74" s="99" t="s">
        <v>1325</v>
      </c>
      <c r="F74" s="99" t="s">
        <v>97</v>
      </c>
      <c r="G74" s="99" t="s">
        <v>33</v>
      </c>
      <c r="H74" s="99"/>
      <c r="I74" s="99"/>
      <c r="J74" s="99"/>
      <c r="K74" s="99"/>
      <c r="L74" s="99" t="s">
        <v>33</v>
      </c>
      <c r="M74" s="99" t="s">
        <v>33</v>
      </c>
      <c r="N74" s="49" t="s">
        <v>33</v>
      </c>
      <c r="O74" s="49" t="s">
        <v>33</v>
      </c>
      <c r="P74" s="99" t="s">
        <v>593</v>
      </c>
      <c r="Q74" s="53" t="s">
        <v>955</v>
      </c>
      <c r="R74" s="99" t="s">
        <v>956</v>
      </c>
      <c r="S74" s="49" t="s">
        <v>40</v>
      </c>
      <c r="T74" s="99"/>
      <c r="U74" s="99"/>
      <c r="V74" s="99"/>
      <c r="W74" s="99"/>
      <c r="X74" s="99"/>
      <c r="Y74" s="99"/>
      <c r="Z74" s="99"/>
      <c r="AA74" s="99"/>
      <c r="AB74" s="99"/>
    </row>
    <row r="75" spans="1:28">
      <c r="A75" s="98">
        <v>46230</v>
      </c>
      <c r="B75" s="99" t="s">
        <v>1326</v>
      </c>
      <c r="C75" s="99">
        <v>9345600175</v>
      </c>
      <c r="D75" s="99" t="s">
        <v>1327</v>
      </c>
      <c r="E75" s="99" t="s">
        <v>246</v>
      </c>
      <c r="F75" s="99" t="s">
        <v>300</v>
      </c>
      <c r="G75" s="60" t="s">
        <v>37</v>
      </c>
      <c r="H75" s="99"/>
      <c r="I75" s="99"/>
      <c r="J75" s="99"/>
      <c r="K75" s="99"/>
      <c r="L75" s="99" t="s">
        <v>33</v>
      </c>
      <c r="M75" s="99" t="s">
        <v>33</v>
      </c>
      <c r="N75" s="49" t="s">
        <v>33</v>
      </c>
      <c r="O75" s="49" t="s">
        <v>33</v>
      </c>
      <c r="P75" s="99" t="s">
        <v>1201</v>
      </c>
      <c r="Q75" s="73" t="s">
        <v>1328</v>
      </c>
      <c r="R75" s="99" t="s">
        <v>1329</v>
      </c>
      <c r="S75" s="49" t="s">
        <v>40</v>
      </c>
      <c r="T75" s="99"/>
      <c r="U75" s="99"/>
      <c r="V75" s="99"/>
      <c r="W75" s="99"/>
      <c r="X75" s="99"/>
      <c r="Y75" s="99"/>
      <c r="Z75" s="99"/>
      <c r="AA75" s="99"/>
      <c r="AB75" s="99"/>
    </row>
    <row r="76" spans="1:28" ht="16.5" customHeight="1">
      <c r="A76" s="98">
        <v>46231</v>
      </c>
      <c r="B76" s="99" t="s">
        <v>1330</v>
      </c>
      <c r="C76" s="99">
        <v>7200352247</v>
      </c>
      <c r="D76" s="99" t="s">
        <v>1331</v>
      </c>
      <c r="E76" s="99" t="s">
        <v>48</v>
      </c>
      <c r="F76" s="99" t="s">
        <v>97</v>
      </c>
      <c r="G76" s="99" t="s">
        <v>33</v>
      </c>
      <c r="H76" s="99"/>
      <c r="I76" s="99"/>
      <c r="J76" s="99"/>
      <c r="K76" s="99"/>
      <c r="L76" s="99" t="s">
        <v>33</v>
      </c>
      <c r="M76" s="99" t="s">
        <v>33</v>
      </c>
      <c r="N76" s="49" t="s">
        <v>33</v>
      </c>
      <c r="O76" s="49" t="s">
        <v>33</v>
      </c>
      <c r="P76" s="59" t="s">
        <v>1332</v>
      </c>
      <c r="Q76" s="99" t="s">
        <v>1333</v>
      </c>
      <c r="R76" s="99" t="s">
        <v>1334</v>
      </c>
      <c r="S76" s="50" t="s">
        <v>40</v>
      </c>
      <c r="T76" s="99"/>
      <c r="U76" s="99"/>
      <c r="V76" s="99"/>
      <c r="W76" s="99"/>
      <c r="X76" s="99"/>
      <c r="Y76" s="99"/>
      <c r="Z76" s="99"/>
      <c r="AA76" s="99"/>
      <c r="AB76" s="99"/>
    </row>
    <row r="77" spans="1:28">
      <c r="A77" s="98">
        <v>46231</v>
      </c>
      <c r="B77" s="99" t="s">
        <v>1335</v>
      </c>
      <c r="C77" s="99">
        <v>9176658923</v>
      </c>
      <c r="D77" s="99" t="s">
        <v>1336</v>
      </c>
      <c r="E77" s="99" t="s">
        <v>48</v>
      </c>
      <c r="F77" s="99" t="s">
        <v>33</v>
      </c>
      <c r="G77" s="99" t="s">
        <v>33</v>
      </c>
      <c r="H77" s="99"/>
      <c r="I77" s="99"/>
      <c r="J77" s="99"/>
      <c r="K77" s="99"/>
      <c r="L77" s="99" t="s">
        <v>33</v>
      </c>
      <c r="M77" s="99" t="s">
        <v>33</v>
      </c>
      <c r="N77" s="49" t="s">
        <v>33</v>
      </c>
      <c r="O77" s="49" t="s">
        <v>33</v>
      </c>
      <c r="P77" s="39" t="s">
        <v>1295</v>
      </c>
      <c r="Q77" s="39" t="s">
        <v>1296</v>
      </c>
      <c r="R77" s="99" t="s">
        <v>1337</v>
      </c>
      <c r="S77" s="99" t="s">
        <v>300</v>
      </c>
      <c r="T77" s="99"/>
      <c r="U77" s="99"/>
      <c r="V77" s="99"/>
      <c r="W77" s="99"/>
      <c r="X77" s="99"/>
      <c r="Y77" s="99"/>
      <c r="Z77" s="99"/>
      <c r="AA77" s="99"/>
      <c r="AB77" s="99"/>
    </row>
    <row r="78" spans="1:28">
      <c r="A78" s="98">
        <v>46231</v>
      </c>
      <c r="B78" s="99" t="s">
        <v>1338</v>
      </c>
      <c r="C78" s="99">
        <v>9347568828</v>
      </c>
      <c r="D78" s="99" t="s">
        <v>1339</v>
      </c>
      <c r="E78" s="99" t="s">
        <v>43</v>
      </c>
      <c r="F78" s="99" t="s">
        <v>33</v>
      </c>
      <c r="G78" s="60" t="s">
        <v>37</v>
      </c>
      <c r="H78" s="99"/>
      <c r="I78" s="99"/>
      <c r="J78" s="99"/>
      <c r="K78" s="99"/>
      <c r="L78" s="99" t="s">
        <v>33</v>
      </c>
      <c r="M78" s="99" t="s">
        <v>33</v>
      </c>
      <c r="N78" s="49" t="s">
        <v>33</v>
      </c>
      <c r="O78" s="49" t="s">
        <v>33</v>
      </c>
      <c r="P78" s="73" t="s">
        <v>1340</v>
      </c>
      <c r="Q78" s="73" t="s">
        <v>1341</v>
      </c>
      <c r="R78" s="99" t="s">
        <v>1342</v>
      </c>
      <c r="S78" s="50" t="s">
        <v>40</v>
      </c>
      <c r="T78" s="99"/>
      <c r="U78" s="99"/>
      <c r="V78" s="99"/>
      <c r="W78" s="99"/>
      <c r="X78" s="99"/>
      <c r="Y78" s="99"/>
      <c r="Z78" s="99"/>
      <c r="AA78" s="99"/>
      <c r="AB78" s="99"/>
    </row>
    <row r="79" spans="1:28" ht="16.5" customHeight="1">
      <c r="A79" s="98">
        <v>46231</v>
      </c>
      <c r="B79" s="99" t="s">
        <v>1343</v>
      </c>
      <c r="C79" s="99">
        <v>9440079449</v>
      </c>
      <c r="D79" s="99" t="s">
        <v>1344</v>
      </c>
      <c r="E79" s="99" t="s">
        <v>86</v>
      </c>
      <c r="F79" s="99" t="s">
        <v>33</v>
      </c>
      <c r="G79" s="99" t="s">
        <v>33</v>
      </c>
      <c r="H79" s="99"/>
      <c r="I79" s="99"/>
      <c r="J79" s="99"/>
      <c r="K79" s="99"/>
      <c r="L79" s="99" t="s">
        <v>33</v>
      </c>
      <c r="M79" s="99" t="s">
        <v>33</v>
      </c>
      <c r="N79" s="49" t="s">
        <v>33</v>
      </c>
      <c r="O79" s="49" t="s">
        <v>33</v>
      </c>
      <c r="P79" s="59" t="s">
        <v>990</v>
      </c>
      <c r="Q79" s="59" t="s">
        <v>298</v>
      </c>
      <c r="R79" s="99" t="s">
        <v>1345</v>
      </c>
      <c r="S79" s="49" t="s">
        <v>40</v>
      </c>
      <c r="T79" s="99" t="s">
        <v>33</v>
      </c>
      <c r="U79" s="99" t="s">
        <v>33</v>
      </c>
      <c r="V79" s="99"/>
      <c r="W79" s="99"/>
      <c r="X79" s="99"/>
      <c r="Y79" s="99" t="s">
        <v>33</v>
      </c>
      <c r="Z79" s="99"/>
      <c r="AA79" s="99"/>
      <c r="AB79" s="99"/>
    </row>
    <row r="80" spans="1:28">
      <c r="A80" s="98">
        <v>46232</v>
      </c>
      <c r="B80" s="99" t="s">
        <v>1346</v>
      </c>
      <c r="C80" s="99">
        <v>1723193899</v>
      </c>
      <c r="D80" s="99" t="s">
        <v>1347</v>
      </c>
      <c r="E80" s="99" t="s">
        <v>25</v>
      </c>
      <c r="F80" s="99" t="s">
        <v>33</v>
      </c>
      <c r="G80" s="99" t="s">
        <v>33</v>
      </c>
      <c r="H80" s="99"/>
      <c r="I80" s="99"/>
      <c r="J80" s="99"/>
      <c r="K80" s="99"/>
      <c r="L80" s="99" t="s">
        <v>33</v>
      </c>
      <c r="M80" s="99" t="s">
        <v>33</v>
      </c>
      <c r="N80" s="49" t="s">
        <v>33</v>
      </c>
      <c r="O80" s="49" t="s">
        <v>33</v>
      </c>
      <c r="P80" s="71" t="s">
        <v>1348</v>
      </c>
      <c r="Q80" s="73" t="s">
        <v>541</v>
      </c>
      <c r="R80" s="99" t="s">
        <v>1349</v>
      </c>
      <c r="S80" s="99" t="s">
        <v>300</v>
      </c>
      <c r="T80" s="99"/>
      <c r="U80" s="99"/>
      <c r="V80" s="99"/>
      <c r="W80" s="99"/>
      <c r="X80" s="99"/>
      <c r="Y80" s="99"/>
      <c r="Z80" s="99"/>
      <c r="AA80" s="99"/>
      <c r="AB80" s="99"/>
    </row>
    <row r="81" spans="1:28">
      <c r="A81" s="98">
        <v>46233</v>
      </c>
      <c r="B81" s="99" t="s">
        <v>1350</v>
      </c>
      <c r="C81" s="99">
        <v>9952512484</v>
      </c>
      <c r="D81" s="55" t="s">
        <v>1351</v>
      </c>
      <c r="E81" s="99" t="s">
        <v>48</v>
      </c>
      <c r="F81" s="99" t="s">
        <v>33</v>
      </c>
      <c r="G81" s="99" t="s">
        <v>33</v>
      </c>
      <c r="H81" s="99" t="s">
        <v>33</v>
      </c>
      <c r="I81" s="18" t="s">
        <v>1352</v>
      </c>
      <c r="J81" s="99"/>
      <c r="K81" s="99"/>
      <c r="L81" s="99" t="s">
        <v>33</v>
      </c>
      <c r="M81" s="99" t="s">
        <v>33</v>
      </c>
      <c r="N81" s="49" t="s">
        <v>33</v>
      </c>
      <c r="O81" s="49" t="s">
        <v>33</v>
      </c>
      <c r="P81" s="18" t="s">
        <v>1353</v>
      </c>
      <c r="Q81" s="18" t="s">
        <v>1354</v>
      </c>
      <c r="R81" s="99" t="s">
        <v>1355</v>
      </c>
      <c r="S81" s="50" t="s">
        <v>40</v>
      </c>
      <c r="T81" s="99"/>
      <c r="U81" s="99"/>
      <c r="V81" s="99"/>
      <c r="W81" s="99"/>
      <c r="X81" s="99"/>
      <c r="Y81" s="99"/>
      <c r="Z81" s="99"/>
      <c r="AA81" s="99"/>
      <c r="AB81" s="99"/>
    </row>
    <row r="82" spans="1:28" ht="16.5" customHeight="1">
      <c r="A82" s="98">
        <v>46234</v>
      </c>
      <c r="B82" s="99" t="s">
        <v>1356</v>
      </c>
      <c r="C82" s="99">
        <v>7550235938</v>
      </c>
      <c r="D82" s="99" t="s">
        <v>1357</v>
      </c>
      <c r="E82" s="17" t="s">
        <v>48</v>
      </c>
      <c r="F82" s="99" t="s">
        <v>33</v>
      </c>
      <c r="G82" s="99" t="s">
        <v>33</v>
      </c>
      <c r="H82" s="99"/>
      <c r="I82" s="99"/>
      <c r="J82" s="99"/>
      <c r="K82" s="99"/>
      <c r="L82" s="99" t="s">
        <v>33</v>
      </c>
      <c r="M82" s="99" t="s">
        <v>33</v>
      </c>
      <c r="N82" s="99"/>
      <c r="O82" s="99"/>
      <c r="P82" s="18" t="s">
        <v>697</v>
      </c>
      <c r="Q82" s="78" t="s">
        <v>1358</v>
      </c>
      <c r="R82" s="99" t="s">
        <v>1359</v>
      </c>
      <c r="S82" s="99" t="s">
        <v>33</v>
      </c>
      <c r="T82" s="99"/>
      <c r="U82" s="99"/>
      <c r="V82" s="99"/>
      <c r="W82" s="99"/>
      <c r="X82" s="99"/>
      <c r="Y82" s="99"/>
      <c r="Z82" s="99"/>
      <c r="AA82" s="99"/>
      <c r="AB82" s="99"/>
    </row>
    <row r="83" spans="1:28" ht="15.75" customHeight="1">
      <c r="A83" s="98">
        <v>46234</v>
      </c>
      <c r="B83" s="99" t="s">
        <v>1360</v>
      </c>
      <c r="C83" s="99">
        <v>9840940184</v>
      </c>
      <c r="D83" s="99" t="s">
        <v>1361</v>
      </c>
      <c r="E83" s="17" t="s">
        <v>447</v>
      </c>
      <c r="F83" s="99" t="s">
        <v>33</v>
      </c>
      <c r="G83" s="99" t="s">
        <v>33</v>
      </c>
      <c r="H83" s="99" t="s">
        <v>33</v>
      </c>
      <c r="I83" s="99" t="s">
        <v>1362</v>
      </c>
      <c r="J83" s="99"/>
      <c r="K83" s="99"/>
      <c r="L83" s="99" t="s">
        <v>33</v>
      </c>
      <c r="M83" s="99" t="s">
        <v>33</v>
      </c>
      <c r="N83" s="99"/>
      <c r="O83" s="99"/>
      <c r="P83" s="18" t="s">
        <v>1363</v>
      </c>
      <c r="Q83" s="18" t="s">
        <v>1364</v>
      </c>
      <c r="R83" s="99" t="s">
        <v>1365</v>
      </c>
      <c r="S83" s="49" t="s">
        <v>40</v>
      </c>
      <c r="T83" s="99" t="s">
        <v>33</v>
      </c>
      <c r="U83" s="99" t="s">
        <v>33</v>
      </c>
      <c r="V83" s="99" t="s">
        <v>33</v>
      </c>
      <c r="W83" s="99"/>
      <c r="X83" s="99"/>
      <c r="Y83" s="99"/>
      <c r="Z83" s="99" t="s">
        <v>33</v>
      </c>
      <c r="AA83" s="99"/>
      <c r="AB83" s="99"/>
    </row>
    <row r="85" spans="1:28">
      <c r="B85" t="s">
        <v>1366</v>
      </c>
      <c r="G85" s="66" t="s">
        <v>1367</v>
      </c>
      <c r="I85" s="66" t="s">
        <v>270</v>
      </c>
      <c r="K85" s="66" t="s">
        <v>13</v>
      </c>
      <c r="R85" s="66" t="s">
        <v>271</v>
      </c>
      <c r="S85" s="62" t="s">
        <v>272</v>
      </c>
    </row>
    <row r="86" spans="1:28">
      <c r="G86" s="66" t="s">
        <v>1368</v>
      </c>
      <c r="I86" s="65">
        <f>26/52</f>
        <v>0.5</v>
      </c>
      <c r="K86" s="65">
        <f>20/52</f>
        <v>0.38461538461538464</v>
      </c>
      <c r="R86" s="66">
        <v>46</v>
      </c>
      <c r="S86" s="66">
        <v>33</v>
      </c>
    </row>
  </sheetData>
  <autoFilter ref="A31:AB83" xr:uid="{00000000-0009-0000-0000-000006000000}"/>
  <mergeCells count="1">
    <mergeCell ref="A1:E1"/>
  </mergeCells>
  <hyperlinks>
    <hyperlink ref="D40" r:id="rId1" xr:uid="{00000000-0004-0000-0600-000000000000}"/>
    <hyperlink ref="Q40" r:id="rId2" display="https://www.linkedin.com/company/1353/" xr:uid="{00000000-0004-0000-0600-000001000000}"/>
    <hyperlink ref="D42" r:id="rId3" xr:uid="{00000000-0004-0000-0600-000002000000}"/>
    <hyperlink ref="D43" r:id="rId4" xr:uid="{00000000-0004-0000-0600-000003000000}"/>
    <hyperlink ref="Q44" r:id="rId5" display="https://www.linkedin.com/company/7771/" xr:uid="{00000000-0004-0000-0600-000004000000}"/>
    <hyperlink ref="D51" r:id="rId6" xr:uid="{00000000-0004-0000-0600-000005000000}"/>
    <hyperlink ref="D52" r:id="rId7" xr:uid="{00000000-0004-0000-0600-000006000000}"/>
    <hyperlink ref="R57" r:id="rId8" xr:uid="{00000000-0004-0000-0600-000007000000}"/>
    <hyperlink ref="D64" r:id="rId9" xr:uid="{00000000-0004-0000-0600-000008000000}"/>
    <hyperlink ref="D65" r:id="rId10" xr:uid="{00000000-0004-0000-0600-000009000000}"/>
    <hyperlink ref="D66" r:id="rId11" xr:uid="{00000000-0004-0000-0600-00000A000000}"/>
    <hyperlink ref="D72" r:id="rId12" xr:uid="{00000000-0004-0000-0600-00000B000000}"/>
    <hyperlink ref="D73" r:id="rId13" xr:uid="{00000000-0004-0000-0600-00000C000000}"/>
    <hyperlink ref="D74" r:id="rId14" xr:uid="{00000000-0004-0000-0600-00000D000000}"/>
    <hyperlink ref="D75" r:id="rId15" xr:uid="{00000000-0004-0000-0600-00000E000000}"/>
    <hyperlink ref="D77" r:id="rId16" xr:uid="{00000000-0004-0000-0600-00000F000000}"/>
    <hyperlink ref="D78" r:id="rId17" xr:uid="{00000000-0004-0000-0600-000010000000}"/>
    <hyperlink ref="Q79" r:id="rId18" display="https://www.linkedin.com/company/985455/" xr:uid="{00000000-0004-0000-0600-000011000000}"/>
    <hyperlink ref="D81" r:id="rId19" xr:uid="{00000000-0004-0000-0600-000012000000}"/>
  </hyperlink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B77"/>
  <sheetViews>
    <sheetView topLeftCell="A61" zoomScale="85" zoomScaleNormal="85" workbookViewId="0">
      <selection activeCell="S81" sqref="S81"/>
    </sheetView>
  </sheetViews>
  <sheetFormatPr defaultColWidth="8.7265625" defaultRowHeight="14"/>
  <cols>
    <col min="1" max="1" width="12.54296875" style="79" customWidth="1"/>
    <col min="2" max="2" width="8.7265625" style="79" customWidth="1"/>
    <col min="3" max="3" width="14.26953125" style="79" bestFit="1" customWidth="1"/>
    <col min="4" max="6" width="8.7265625" style="79" customWidth="1"/>
    <col min="7" max="7" width="19.54296875" style="79" bestFit="1" customWidth="1"/>
    <col min="8" max="10" width="8.7265625" style="79" customWidth="1"/>
    <col min="11" max="16384" width="8.7265625" style="79"/>
  </cols>
  <sheetData>
    <row r="1" spans="1:5" ht="14.5" customHeight="1">
      <c r="A1" s="107" t="s">
        <v>1369</v>
      </c>
      <c r="B1" s="105"/>
      <c r="C1" s="105"/>
      <c r="D1" s="105"/>
      <c r="E1" s="106"/>
    </row>
    <row r="2" spans="1:5">
      <c r="A2" s="103" t="s">
        <v>1</v>
      </c>
      <c r="B2" s="103">
        <v>2093</v>
      </c>
      <c r="C2" s="45">
        <v>2337</v>
      </c>
      <c r="D2" s="103">
        <v>2394</v>
      </c>
      <c r="E2" s="103" t="s">
        <v>2</v>
      </c>
    </row>
    <row r="3" spans="1:5">
      <c r="A3" s="80">
        <v>46237</v>
      </c>
      <c r="B3" s="84">
        <v>1</v>
      </c>
      <c r="C3" s="84"/>
      <c r="D3" s="84"/>
      <c r="E3" s="84">
        <v>1</v>
      </c>
    </row>
    <row r="4" spans="1:5">
      <c r="A4" s="80">
        <v>46238</v>
      </c>
      <c r="B4" s="84">
        <v>2</v>
      </c>
      <c r="C4" s="84"/>
      <c r="D4" s="84">
        <v>1</v>
      </c>
      <c r="E4" s="84">
        <v>3</v>
      </c>
    </row>
    <row r="5" spans="1:5">
      <c r="A5" s="80">
        <v>46239</v>
      </c>
      <c r="B5" s="84">
        <v>1</v>
      </c>
      <c r="C5" s="84">
        <v>1</v>
      </c>
      <c r="D5" s="84"/>
      <c r="E5" s="84">
        <v>2</v>
      </c>
    </row>
    <row r="6" spans="1:5">
      <c r="A6" s="80">
        <v>46240</v>
      </c>
      <c r="B6" s="84">
        <v>1</v>
      </c>
      <c r="C6" s="84">
        <v>1</v>
      </c>
      <c r="D6" s="84">
        <v>1</v>
      </c>
      <c r="E6" s="84">
        <v>3</v>
      </c>
    </row>
    <row r="7" spans="1:5">
      <c r="A7" s="80">
        <v>46241</v>
      </c>
      <c r="B7" s="84">
        <v>2</v>
      </c>
      <c r="C7" s="84">
        <v>1</v>
      </c>
      <c r="D7" s="84">
        <v>1</v>
      </c>
      <c r="E7" s="84">
        <v>4</v>
      </c>
    </row>
    <row r="8" spans="1:5">
      <c r="A8" s="80">
        <v>46244</v>
      </c>
      <c r="B8" s="84"/>
      <c r="C8" s="84"/>
      <c r="D8" s="84"/>
      <c r="E8" s="84"/>
    </row>
    <row r="9" spans="1:5">
      <c r="A9" s="80">
        <v>46245</v>
      </c>
      <c r="B9" s="84">
        <v>2</v>
      </c>
      <c r="C9" s="84"/>
      <c r="D9" s="84"/>
      <c r="E9" s="84">
        <v>2</v>
      </c>
    </row>
    <row r="10" spans="1:5">
      <c r="A10" s="80">
        <v>46246</v>
      </c>
      <c r="B10" s="84"/>
      <c r="C10" s="84"/>
      <c r="D10" s="84">
        <v>1</v>
      </c>
      <c r="E10" s="84">
        <v>1</v>
      </c>
    </row>
    <row r="11" spans="1:5">
      <c r="A11" s="80">
        <v>46247</v>
      </c>
      <c r="B11" s="84">
        <v>1</v>
      </c>
      <c r="C11" s="84">
        <v>1</v>
      </c>
      <c r="D11" s="84">
        <v>1</v>
      </c>
      <c r="E11" s="84">
        <v>3</v>
      </c>
    </row>
    <row r="12" spans="1:5">
      <c r="A12" s="80">
        <v>46248</v>
      </c>
      <c r="B12" s="84"/>
      <c r="C12" s="84"/>
      <c r="D12" s="84">
        <v>1</v>
      </c>
      <c r="E12" s="84">
        <v>1</v>
      </c>
    </row>
    <row r="13" spans="1:5">
      <c r="A13" s="80">
        <v>46251</v>
      </c>
      <c r="B13" s="84">
        <v>1</v>
      </c>
      <c r="C13" s="84">
        <v>1</v>
      </c>
      <c r="D13" s="84">
        <v>1</v>
      </c>
      <c r="E13" s="84">
        <v>3</v>
      </c>
    </row>
    <row r="14" spans="1:5">
      <c r="A14" s="80">
        <v>46252</v>
      </c>
      <c r="B14" s="84"/>
      <c r="C14" s="84"/>
      <c r="D14" s="84">
        <v>1</v>
      </c>
      <c r="E14" s="84">
        <v>1</v>
      </c>
    </row>
    <row r="15" spans="1:5">
      <c r="A15" s="80">
        <v>46253</v>
      </c>
      <c r="B15" s="84">
        <v>1</v>
      </c>
      <c r="C15" s="84">
        <v>1</v>
      </c>
      <c r="D15" s="84"/>
      <c r="E15" s="84">
        <v>2</v>
      </c>
    </row>
    <row r="16" spans="1:5">
      <c r="A16" s="80">
        <v>46254</v>
      </c>
      <c r="B16" s="84">
        <v>1</v>
      </c>
      <c r="C16" s="84">
        <v>2</v>
      </c>
      <c r="D16" s="84">
        <v>1</v>
      </c>
      <c r="E16" s="84">
        <v>4</v>
      </c>
    </row>
    <row r="17" spans="1:28">
      <c r="A17" s="80">
        <v>46255</v>
      </c>
      <c r="B17" s="84">
        <v>1</v>
      </c>
      <c r="C17" s="84">
        <v>1</v>
      </c>
      <c r="D17" s="84"/>
      <c r="E17" s="84">
        <v>2</v>
      </c>
    </row>
    <row r="18" spans="1:28">
      <c r="A18" s="80">
        <v>46258</v>
      </c>
      <c r="B18" s="84">
        <v>1</v>
      </c>
      <c r="C18" s="84">
        <v>2</v>
      </c>
      <c r="D18" s="84"/>
      <c r="E18" s="84">
        <v>3</v>
      </c>
    </row>
    <row r="19" spans="1:28">
      <c r="A19" s="80">
        <v>46259</v>
      </c>
      <c r="B19" s="84">
        <v>1</v>
      </c>
      <c r="C19" s="84">
        <v>1</v>
      </c>
      <c r="D19" s="84"/>
      <c r="E19" s="84">
        <v>2</v>
      </c>
    </row>
    <row r="20" spans="1:28">
      <c r="A20" s="80">
        <v>46260</v>
      </c>
      <c r="B20" s="84">
        <v>1</v>
      </c>
      <c r="C20" s="84">
        <v>1</v>
      </c>
      <c r="D20" s="84">
        <v>1</v>
      </c>
      <c r="E20" s="84">
        <v>3</v>
      </c>
    </row>
    <row r="21" spans="1:28">
      <c r="A21" s="80">
        <v>46261</v>
      </c>
      <c r="B21" s="84"/>
      <c r="C21" s="84"/>
      <c r="D21" s="84"/>
      <c r="E21" s="84"/>
    </row>
    <row r="22" spans="1:28">
      <c r="A22" s="80">
        <v>46262</v>
      </c>
      <c r="B22" s="84"/>
      <c r="C22" s="84">
        <v>1</v>
      </c>
      <c r="D22" s="84">
        <v>1</v>
      </c>
      <c r="E22" s="84">
        <v>2</v>
      </c>
    </row>
    <row r="23" spans="1:28">
      <c r="A23" s="80">
        <v>46265</v>
      </c>
      <c r="B23" s="84">
        <v>2</v>
      </c>
      <c r="C23" s="84"/>
      <c r="D23" s="84">
        <v>1</v>
      </c>
      <c r="E23" s="84">
        <v>3</v>
      </c>
    </row>
    <row r="24" spans="1:28">
      <c r="A24" s="84"/>
      <c r="B24" s="84">
        <v>19</v>
      </c>
      <c r="C24" s="84">
        <v>14</v>
      </c>
      <c r="D24" s="84">
        <v>12</v>
      </c>
      <c r="E24" s="84"/>
    </row>
    <row r="25" spans="1:28">
      <c r="D25" s="84" t="s">
        <v>430</v>
      </c>
      <c r="E25" s="84">
        <f>SUM(E3:E23)</f>
        <v>45</v>
      </c>
    </row>
    <row r="29" spans="1:28" ht="190.5" customHeight="1">
      <c r="A29" s="103" t="s">
        <v>1</v>
      </c>
      <c r="B29" s="103" t="s">
        <v>5</v>
      </c>
      <c r="C29" s="45" t="s">
        <v>6</v>
      </c>
      <c r="D29" s="103" t="s">
        <v>7</v>
      </c>
      <c r="E29" s="103" t="s">
        <v>8</v>
      </c>
      <c r="F29" s="46" t="s">
        <v>275</v>
      </c>
      <c r="G29" s="46" t="s">
        <v>10</v>
      </c>
      <c r="H29" s="47" t="s">
        <v>11</v>
      </c>
      <c r="I29" s="103" t="s">
        <v>12</v>
      </c>
      <c r="J29" s="46" t="s">
        <v>13</v>
      </c>
      <c r="K29" s="103" t="s">
        <v>12</v>
      </c>
      <c r="L29" s="46" t="s">
        <v>15</v>
      </c>
      <c r="M29" s="46" t="s">
        <v>16</v>
      </c>
      <c r="N29" s="46" t="s">
        <v>17</v>
      </c>
      <c r="O29" s="46" t="s">
        <v>18</v>
      </c>
      <c r="P29" s="103" t="s">
        <v>19</v>
      </c>
      <c r="Q29" s="103" t="s">
        <v>20</v>
      </c>
      <c r="R29" s="103" t="s">
        <v>21</v>
      </c>
      <c r="S29" s="46" t="s">
        <v>22</v>
      </c>
      <c r="T29" s="46" t="s">
        <v>23</v>
      </c>
      <c r="U29" s="46" t="s">
        <v>24</v>
      </c>
      <c r="V29" s="46" t="s">
        <v>982</v>
      </c>
      <c r="W29" s="46" t="s">
        <v>25</v>
      </c>
      <c r="X29" s="46" t="s">
        <v>26</v>
      </c>
      <c r="Y29" s="46" t="s">
        <v>27</v>
      </c>
      <c r="Z29" s="46" t="s">
        <v>28</v>
      </c>
      <c r="AA29" s="46" t="s">
        <v>29</v>
      </c>
      <c r="AB29" s="46" t="s">
        <v>1172</v>
      </c>
    </row>
    <row r="30" spans="1:28" ht="15.75" customHeight="1">
      <c r="A30" s="80">
        <v>46237</v>
      </c>
      <c r="B30" s="84" t="s">
        <v>1370</v>
      </c>
      <c r="C30" s="84">
        <v>8686455189</v>
      </c>
      <c r="D30" s="84" t="s">
        <v>1371</v>
      </c>
      <c r="E30" s="81" t="s">
        <v>276</v>
      </c>
      <c r="F30" s="84" t="s">
        <v>300</v>
      </c>
      <c r="G30" s="87" t="s">
        <v>37</v>
      </c>
      <c r="H30" s="84" t="s">
        <v>33</v>
      </c>
      <c r="I30" s="84" t="s">
        <v>1372</v>
      </c>
      <c r="J30" s="84" t="s">
        <v>33</v>
      </c>
      <c r="K30" s="84" t="s">
        <v>304</v>
      </c>
      <c r="L30" s="84" t="s">
        <v>33</v>
      </c>
      <c r="M30" s="84" t="s">
        <v>33</v>
      </c>
      <c r="N30" s="82" t="s">
        <v>33</v>
      </c>
      <c r="O30" s="82" t="s">
        <v>33</v>
      </c>
      <c r="P30" s="84" t="s">
        <v>211</v>
      </c>
      <c r="Q30" s="84" t="s">
        <v>434</v>
      </c>
      <c r="R30" s="84" t="s">
        <v>1373</v>
      </c>
      <c r="S30" s="82" t="s">
        <v>33</v>
      </c>
      <c r="T30" s="84"/>
      <c r="U30" s="84"/>
      <c r="V30" s="84"/>
      <c r="W30" s="84"/>
      <c r="X30" s="84"/>
      <c r="Y30" s="84"/>
      <c r="Z30" s="84"/>
      <c r="AA30" s="84"/>
      <c r="AB30" s="84"/>
    </row>
    <row r="31" spans="1:28" ht="15.75" customHeight="1">
      <c r="A31" s="80">
        <v>46238</v>
      </c>
      <c r="B31" s="84" t="s">
        <v>1374</v>
      </c>
      <c r="C31" s="84">
        <v>9048105318</v>
      </c>
      <c r="D31" s="84" t="s">
        <v>1375</v>
      </c>
      <c r="E31" s="81" t="s">
        <v>25</v>
      </c>
      <c r="F31" s="84" t="s">
        <v>33</v>
      </c>
      <c r="G31" s="87" t="s">
        <v>37</v>
      </c>
      <c r="H31" s="84" t="s">
        <v>33</v>
      </c>
      <c r="I31" s="84" t="s">
        <v>67</v>
      </c>
      <c r="J31" s="84"/>
      <c r="K31" s="84"/>
      <c r="L31" s="84" t="s">
        <v>33</v>
      </c>
      <c r="M31" s="84" t="s">
        <v>33</v>
      </c>
      <c r="N31" s="82" t="s">
        <v>33</v>
      </c>
      <c r="O31" s="82" t="s">
        <v>33</v>
      </c>
      <c r="P31" s="84" t="s">
        <v>211</v>
      </c>
      <c r="Q31" s="84" t="s">
        <v>1376</v>
      </c>
      <c r="R31" s="84"/>
      <c r="S31" s="84"/>
      <c r="T31" s="84"/>
      <c r="U31" s="84"/>
      <c r="V31" s="84"/>
      <c r="W31" s="84"/>
      <c r="X31" s="84"/>
      <c r="Y31" s="84"/>
      <c r="Z31" s="84"/>
      <c r="AA31" s="84"/>
      <c r="AB31" s="84"/>
    </row>
    <row r="32" spans="1:28" ht="15.75" customHeight="1">
      <c r="A32" s="80">
        <v>46238</v>
      </c>
      <c r="B32" s="84" t="s">
        <v>1377</v>
      </c>
      <c r="C32" s="84">
        <v>8667849285</v>
      </c>
      <c r="D32" s="84" t="s">
        <v>1378</v>
      </c>
      <c r="E32" s="81" t="s">
        <v>48</v>
      </c>
      <c r="F32" s="84" t="s">
        <v>33</v>
      </c>
      <c r="G32" s="84" t="s">
        <v>33</v>
      </c>
      <c r="H32" s="84" t="s">
        <v>33</v>
      </c>
      <c r="I32" s="84" t="s">
        <v>780</v>
      </c>
      <c r="J32" s="84"/>
      <c r="K32" s="84"/>
      <c r="L32" s="84" t="s">
        <v>33</v>
      </c>
      <c r="M32" s="84" t="s">
        <v>33</v>
      </c>
      <c r="N32" s="82" t="s">
        <v>33</v>
      </c>
      <c r="O32" s="82" t="s">
        <v>33</v>
      </c>
      <c r="P32" s="84" t="s">
        <v>1379</v>
      </c>
      <c r="Q32" s="84" t="s">
        <v>1380</v>
      </c>
      <c r="R32" s="84" t="s">
        <v>1381</v>
      </c>
      <c r="S32" s="84" t="s">
        <v>33</v>
      </c>
      <c r="T32" s="84" t="s">
        <v>33</v>
      </c>
      <c r="U32" s="84"/>
      <c r="V32" s="84"/>
      <c r="W32" s="84"/>
      <c r="X32" s="84"/>
      <c r="Y32" s="84" t="s">
        <v>33</v>
      </c>
      <c r="Z32" s="84" t="s">
        <v>33</v>
      </c>
      <c r="AA32" s="84"/>
      <c r="AB32" s="84" t="s">
        <v>33</v>
      </c>
    </row>
    <row r="33" spans="1:28" ht="15.75" customHeight="1">
      <c r="A33" s="80">
        <v>46238</v>
      </c>
      <c r="B33" s="84" t="s">
        <v>1382</v>
      </c>
      <c r="C33" s="84">
        <v>9884673808</v>
      </c>
      <c r="D33" s="84" t="s">
        <v>1383</v>
      </c>
      <c r="E33" s="81" t="s">
        <v>55</v>
      </c>
      <c r="F33" s="84" t="s">
        <v>33</v>
      </c>
      <c r="G33" s="84" t="s">
        <v>33</v>
      </c>
      <c r="H33" s="84"/>
      <c r="I33" s="84"/>
      <c r="J33" s="84"/>
      <c r="K33" s="84"/>
      <c r="L33" s="84" t="s">
        <v>33</v>
      </c>
      <c r="M33" s="84" t="s">
        <v>33</v>
      </c>
      <c r="N33" s="82" t="s">
        <v>33</v>
      </c>
      <c r="O33" s="82" t="s">
        <v>33</v>
      </c>
      <c r="P33" s="84"/>
      <c r="Q33" s="84"/>
      <c r="R33" s="84" t="s">
        <v>1384</v>
      </c>
      <c r="S33" s="82" t="s">
        <v>33</v>
      </c>
      <c r="T33" s="84"/>
      <c r="U33" s="84"/>
      <c r="V33" s="84"/>
      <c r="W33" s="84"/>
      <c r="X33" s="84"/>
      <c r="Y33" s="84"/>
      <c r="Z33" s="84"/>
      <c r="AA33" s="84"/>
      <c r="AB33" s="84"/>
    </row>
    <row r="34" spans="1:28" ht="15.75" customHeight="1">
      <c r="A34" s="80">
        <v>46239</v>
      </c>
      <c r="B34" s="84" t="s">
        <v>1385</v>
      </c>
      <c r="C34" s="84">
        <v>9345601626</v>
      </c>
      <c r="D34" s="84" t="s">
        <v>1386</v>
      </c>
      <c r="E34" s="81" t="s">
        <v>251</v>
      </c>
      <c r="F34" s="84" t="s">
        <v>62</v>
      </c>
      <c r="G34" s="87" t="s">
        <v>37</v>
      </c>
      <c r="H34" s="84" t="s">
        <v>300</v>
      </c>
      <c r="I34" s="84" t="s">
        <v>1387</v>
      </c>
      <c r="J34" s="84"/>
      <c r="K34" s="84"/>
      <c r="L34" s="84" t="s">
        <v>33</v>
      </c>
      <c r="M34" s="84" t="s">
        <v>33</v>
      </c>
      <c r="N34" s="82" t="s">
        <v>33</v>
      </c>
      <c r="O34" s="82" t="s">
        <v>33</v>
      </c>
      <c r="P34" s="84" t="s">
        <v>1388</v>
      </c>
      <c r="Q34" s="84" t="s">
        <v>809</v>
      </c>
      <c r="R34" s="84"/>
      <c r="S34" s="84"/>
      <c r="T34" s="84"/>
      <c r="U34" s="84"/>
      <c r="V34" s="84"/>
      <c r="W34" s="84"/>
      <c r="X34" s="84"/>
      <c r="Y34" s="84"/>
      <c r="Z34" s="84"/>
      <c r="AA34" s="84"/>
      <c r="AB34" s="84"/>
    </row>
    <row r="35" spans="1:28" ht="15.75" customHeight="1">
      <c r="A35" s="80">
        <v>46239</v>
      </c>
      <c r="B35" s="84" t="s">
        <v>1389</v>
      </c>
      <c r="C35" s="84">
        <v>9003543243</v>
      </c>
      <c r="D35" s="84" t="s">
        <v>1390</v>
      </c>
      <c r="E35" s="81" t="s">
        <v>43</v>
      </c>
      <c r="F35" s="84" t="s">
        <v>33</v>
      </c>
      <c r="G35" s="84" t="s">
        <v>33</v>
      </c>
      <c r="H35" s="84"/>
      <c r="I35" s="84"/>
      <c r="J35" s="84"/>
      <c r="K35" s="84"/>
      <c r="L35" s="84" t="s">
        <v>33</v>
      </c>
      <c r="M35" s="84" t="s">
        <v>33</v>
      </c>
      <c r="N35" s="82" t="s">
        <v>33</v>
      </c>
      <c r="O35" s="82" t="s">
        <v>33</v>
      </c>
      <c r="P35" s="84" t="s">
        <v>1391</v>
      </c>
      <c r="Q35" s="84" t="s">
        <v>1392</v>
      </c>
      <c r="R35" s="84" t="s">
        <v>1393</v>
      </c>
      <c r="S35" s="82" t="s">
        <v>33</v>
      </c>
      <c r="T35" s="84" t="s">
        <v>33</v>
      </c>
      <c r="U35" s="84" t="s">
        <v>33</v>
      </c>
      <c r="V35" s="84" t="s">
        <v>33</v>
      </c>
      <c r="W35" s="84" t="s">
        <v>33</v>
      </c>
      <c r="X35" s="84"/>
      <c r="Y35" s="84"/>
      <c r="Z35" s="84"/>
      <c r="AA35" s="84"/>
      <c r="AB35" s="84"/>
    </row>
    <row r="36" spans="1:28" ht="15.75" customHeight="1">
      <c r="A36" s="80">
        <v>46240</v>
      </c>
      <c r="B36" s="84" t="s">
        <v>1394</v>
      </c>
      <c r="C36" s="84">
        <v>6369634404</v>
      </c>
      <c r="D36" s="84" t="s">
        <v>1395</v>
      </c>
      <c r="E36" s="81" t="s">
        <v>48</v>
      </c>
      <c r="F36" s="84" t="s">
        <v>33</v>
      </c>
      <c r="G36" s="84" t="s">
        <v>33</v>
      </c>
      <c r="H36" s="84" t="s">
        <v>300</v>
      </c>
      <c r="I36" s="84" t="s">
        <v>1396</v>
      </c>
      <c r="J36" s="84" t="s">
        <v>33</v>
      </c>
      <c r="K36" s="84" t="s">
        <v>304</v>
      </c>
      <c r="L36" s="84" t="s">
        <v>33</v>
      </c>
      <c r="M36" s="84" t="s">
        <v>33</v>
      </c>
      <c r="N36" s="82" t="s">
        <v>33</v>
      </c>
      <c r="O36" s="82" t="s">
        <v>33</v>
      </c>
      <c r="P36" s="84" t="s">
        <v>367</v>
      </c>
      <c r="Q36" s="84" t="s">
        <v>768</v>
      </c>
      <c r="R36" s="84" t="s">
        <v>1397</v>
      </c>
      <c r="S36" s="83" t="s">
        <v>33</v>
      </c>
      <c r="T36" s="84"/>
      <c r="U36" s="84"/>
      <c r="V36" s="84"/>
      <c r="W36" s="84"/>
      <c r="X36" s="84"/>
      <c r="Y36" s="84"/>
      <c r="Z36" s="84"/>
      <c r="AA36" s="84"/>
      <c r="AB36" s="84"/>
    </row>
    <row r="37" spans="1:28" ht="15.75" customHeight="1">
      <c r="A37" s="80">
        <v>46240</v>
      </c>
      <c r="B37" s="84" t="s">
        <v>1398</v>
      </c>
      <c r="C37" s="84">
        <v>7639458600</v>
      </c>
      <c r="D37" s="84" t="s">
        <v>1399</v>
      </c>
      <c r="E37" s="81" t="s">
        <v>251</v>
      </c>
      <c r="F37" s="84" t="s">
        <v>33</v>
      </c>
      <c r="G37" s="87" t="s">
        <v>37</v>
      </c>
      <c r="H37" s="84" t="s">
        <v>300</v>
      </c>
      <c r="I37" s="84" t="s">
        <v>1400</v>
      </c>
      <c r="J37" s="84"/>
      <c r="K37" s="84"/>
      <c r="L37" s="84" t="s">
        <v>33</v>
      </c>
      <c r="M37" s="84" t="s">
        <v>33</v>
      </c>
      <c r="N37" s="82" t="s">
        <v>33</v>
      </c>
      <c r="O37" s="82" t="s">
        <v>33</v>
      </c>
      <c r="P37" s="84" t="s">
        <v>1401</v>
      </c>
      <c r="Q37" s="84" t="s">
        <v>1402</v>
      </c>
      <c r="R37" s="84"/>
      <c r="S37" s="84"/>
      <c r="T37" s="84"/>
      <c r="U37" s="84"/>
      <c r="V37" s="84"/>
      <c r="W37" s="84"/>
      <c r="X37" s="84"/>
      <c r="Y37" s="84"/>
      <c r="Z37" s="84"/>
      <c r="AA37" s="84"/>
      <c r="AB37" s="84"/>
    </row>
    <row r="38" spans="1:28" ht="15.75" customHeight="1">
      <c r="A38" s="80">
        <v>46240</v>
      </c>
      <c r="B38" s="84" t="s">
        <v>1403</v>
      </c>
      <c r="C38" s="84">
        <v>9952512484</v>
      </c>
      <c r="D38" s="84" t="s">
        <v>1351</v>
      </c>
      <c r="E38" s="81" t="s">
        <v>48</v>
      </c>
      <c r="F38" s="84" t="s">
        <v>62</v>
      </c>
      <c r="G38" s="84" t="s">
        <v>33</v>
      </c>
      <c r="H38" s="84" t="s">
        <v>33</v>
      </c>
      <c r="I38" s="84" t="s">
        <v>1352</v>
      </c>
      <c r="J38" s="84"/>
      <c r="K38" s="84"/>
      <c r="L38" s="84" t="s">
        <v>33</v>
      </c>
      <c r="M38" s="84" t="s">
        <v>33</v>
      </c>
      <c r="N38" s="82" t="s">
        <v>33</v>
      </c>
      <c r="O38" s="82" t="s">
        <v>33</v>
      </c>
      <c r="P38" s="84" t="s">
        <v>1353</v>
      </c>
      <c r="Q38" s="84" t="s">
        <v>1354</v>
      </c>
      <c r="R38" s="84" t="s">
        <v>1355</v>
      </c>
      <c r="S38" s="82" t="s">
        <v>33</v>
      </c>
      <c r="T38" s="84"/>
      <c r="U38" s="84"/>
      <c r="V38" s="84"/>
      <c r="W38" s="84"/>
      <c r="X38" s="84"/>
      <c r="Y38" s="84"/>
      <c r="Z38" s="84"/>
      <c r="AA38" s="84"/>
      <c r="AB38" s="84"/>
    </row>
    <row r="39" spans="1:28" ht="15.75" customHeight="1">
      <c r="A39" s="80">
        <v>46241</v>
      </c>
      <c r="B39" s="84" t="s">
        <v>1404</v>
      </c>
      <c r="C39" s="84">
        <v>9952545034</v>
      </c>
      <c r="D39" s="84" t="s">
        <v>1405</v>
      </c>
      <c r="E39" s="81" t="s">
        <v>25</v>
      </c>
      <c r="F39" s="84" t="s">
        <v>33</v>
      </c>
      <c r="G39" s="84" t="s">
        <v>33</v>
      </c>
      <c r="H39" s="84"/>
      <c r="I39" s="84" t="s">
        <v>1406</v>
      </c>
      <c r="J39" s="84" t="s">
        <v>33</v>
      </c>
      <c r="K39" s="84" t="s">
        <v>304</v>
      </c>
      <c r="L39" s="84"/>
      <c r="M39" s="84"/>
      <c r="N39" s="84"/>
      <c r="O39" s="84"/>
      <c r="P39" s="84" t="s">
        <v>893</v>
      </c>
      <c r="Q39" s="84" t="s">
        <v>1065</v>
      </c>
      <c r="R39" s="84"/>
      <c r="S39" s="84"/>
      <c r="T39" s="84"/>
      <c r="U39" s="84"/>
      <c r="V39" s="84"/>
      <c r="W39" s="84"/>
      <c r="X39" s="84"/>
      <c r="Y39" s="84"/>
      <c r="Z39" s="84"/>
      <c r="AA39" s="84"/>
      <c r="AB39" s="84"/>
    </row>
    <row r="40" spans="1:28" ht="15.75" customHeight="1">
      <c r="A40" s="80">
        <v>46241</v>
      </c>
      <c r="B40" s="84" t="s">
        <v>30</v>
      </c>
      <c r="C40" s="84">
        <v>8105047843</v>
      </c>
      <c r="D40" s="84" t="s">
        <v>31</v>
      </c>
      <c r="E40" s="81" t="s">
        <v>1407</v>
      </c>
      <c r="F40" s="84" t="s">
        <v>33</v>
      </c>
      <c r="G40" s="87" t="s">
        <v>37</v>
      </c>
      <c r="H40" s="84" t="s">
        <v>300</v>
      </c>
      <c r="I40" s="84" t="s">
        <v>35</v>
      </c>
      <c r="J40" s="84" t="s">
        <v>33</v>
      </c>
      <c r="K40" s="84" t="s">
        <v>304</v>
      </c>
      <c r="L40" s="84" t="s">
        <v>33</v>
      </c>
      <c r="M40" s="84" t="s">
        <v>33</v>
      </c>
      <c r="N40" s="82" t="s">
        <v>33</v>
      </c>
      <c r="O40" s="82" t="s">
        <v>33</v>
      </c>
      <c r="P40" s="84" t="s">
        <v>511</v>
      </c>
      <c r="Q40" s="84" t="s">
        <v>38</v>
      </c>
      <c r="R40" s="84" t="s">
        <v>201</v>
      </c>
      <c r="S40" s="82" t="s">
        <v>33</v>
      </c>
      <c r="T40" s="84"/>
      <c r="U40" s="84"/>
      <c r="V40" s="84"/>
      <c r="W40" s="84"/>
      <c r="X40" s="84"/>
      <c r="Y40" s="84"/>
      <c r="Z40" s="84"/>
      <c r="AA40" s="84"/>
      <c r="AB40" s="84"/>
    </row>
    <row r="41" spans="1:28" ht="15.75" customHeight="1">
      <c r="A41" s="80">
        <v>46241</v>
      </c>
      <c r="B41" s="84" t="s">
        <v>1370</v>
      </c>
      <c r="C41" s="84">
        <v>8686455189</v>
      </c>
      <c r="D41" s="84" t="s">
        <v>1371</v>
      </c>
      <c r="E41" s="81" t="s">
        <v>276</v>
      </c>
      <c r="F41" s="84" t="s">
        <v>62</v>
      </c>
      <c r="G41" s="87" t="s">
        <v>37</v>
      </c>
      <c r="H41" s="84" t="s">
        <v>33</v>
      </c>
      <c r="I41" s="84" t="s">
        <v>1372</v>
      </c>
      <c r="J41" s="84" t="s">
        <v>33</v>
      </c>
      <c r="K41" s="84" t="s">
        <v>304</v>
      </c>
      <c r="L41" s="84" t="s">
        <v>33</v>
      </c>
      <c r="M41" s="84" t="s">
        <v>33</v>
      </c>
      <c r="N41" s="82" t="s">
        <v>33</v>
      </c>
      <c r="O41" s="82" t="s">
        <v>33</v>
      </c>
      <c r="P41" s="84" t="s">
        <v>211</v>
      </c>
      <c r="Q41" s="84" t="s">
        <v>434</v>
      </c>
      <c r="R41" s="84" t="s">
        <v>1373</v>
      </c>
      <c r="S41" s="83" t="s">
        <v>33</v>
      </c>
      <c r="T41" s="84"/>
      <c r="U41" s="84"/>
      <c r="V41" s="84"/>
      <c r="W41" s="84"/>
      <c r="X41" s="84"/>
      <c r="Y41" s="84"/>
      <c r="Z41" s="84"/>
      <c r="AA41" s="84"/>
      <c r="AB41" s="84"/>
    </row>
    <row r="42" spans="1:28" ht="17.25" customHeight="1">
      <c r="A42" s="80">
        <v>46241</v>
      </c>
      <c r="B42" s="84" t="s">
        <v>1408</v>
      </c>
      <c r="C42" s="84">
        <v>9751677195</v>
      </c>
      <c r="D42" s="84" t="s">
        <v>1409</v>
      </c>
      <c r="E42" s="81" t="s">
        <v>86</v>
      </c>
      <c r="F42" s="84" t="s">
        <v>33</v>
      </c>
      <c r="G42" s="84" t="s">
        <v>33</v>
      </c>
      <c r="H42" s="84"/>
      <c r="I42" s="84"/>
      <c r="J42" s="84"/>
      <c r="K42" s="84"/>
      <c r="L42" s="84" t="s">
        <v>33</v>
      </c>
      <c r="M42" s="84" t="s">
        <v>33</v>
      </c>
      <c r="N42" s="82" t="s">
        <v>33</v>
      </c>
      <c r="O42" s="82" t="s">
        <v>33</v>
      </c>
      <c r="P42" s="53" t="s">
        <v>1410</v>
      </c>
      <c r="Q42" s="53" t="s">
        <v>228</v>
      </c>
      <c r="R42" s="84" t="s">
        <v>1411</v>
      </c>
      <c r="S42" s="84" t="s">
        <v>33</v>
      </c>
      <c r="T42" s="84"/>
      <c r="U42" s="84"/>
      <c r="V42" s="84"/>
      <c r="W42" s="84"/>
      <c r="X42" s="84"/>
      <c r="Y42" s="84"/>
      <c r="Z42" s="84"/>
      <c r="AA42" s="84"/>
      <c r="AB42" s="84"/>
    </row>
    <row r="43" spans="1:28" ht="15.75" customHeight="1">
      <c r="A43" s="80">
        <v>46245</v>
      </c>
      <c r="B43" s="84" t="s">
        <v>988</v>
      </c>
      <c r="C43" s="84">
        <v>7010277967</v>
      </c>
      <c r="D43" s="84" t="s">
        <v>989</v>
      </c>
      <c r="E43" s="81" t="s">
        <v>25</v>
      </c>
      <c r="F43" s="84" t="s">
        <v>62</v>
      </c>
      <c r="G43" s="84" t="s">
        <v>33</v>
      </c>
      <c r="H43" s="84" t="s">
        <v>33</v>
      </c>
      <c r="I43" s="84" t="s">
        <v>1412</v>
      </c>
      <c r="J43" s="84" t="s">
        <v>33</v>
      </c>
      <c r="K43" s="84" t="s">
        <v>304</v>
      </c>
      <c r="L43" s="84" t="s">
        <v>33</v>
      </c>
      <c r="M43" s="84" t="s">
        <v>33</v>
      </c>
      <c r="N43" s="82" t="s">
        <v>33</v>
      </c>
      <c r="O43" s="82" t="s">
        <v>33</v>
      </c>
      <c r="P43" s="84" t="s">
        <v>1413</v>
      </c>
      <c r="Q43" s="84" t="s">
        <v>1414</v>
      </c>
      <c r="R43" s="84" t="s">
        <v>992</v>
      </c>
      <c r="S43" s="82" t="s">
        <v>33</v>
      </c>
      <c r="T43" s="84" t="s">
        <v>33</v>
      </c>
      <c r="U43" s="84" t="s">
        <v>33</v>
      </c>
      <c r="V43" s="84"/>
      <c r="W43" s="84"/>
      <c r="X43" s="84"/>
      <c r="Y43" s="84"/>
      <c r="Z43" s="84"/>
      <c r="AA43" s="84"/>
      <c r="AB43" s="84"/>
    </row>
    <row r="44" spans="1:28" ht="15.75" customHeight="1">
      <c r="A44" s="80">
        <v>46245</v>
      </c>
      <c r="B44" s="84" t="s">
        <v>1415</v>
      </c>
      <c r="C44" s="84">
        <v>8668046594</v>
      </c>
      <c r="D44" s="84" t="s">
        <v>1416</v>
      </c>
      <c r="E44" s="81" t="s">
        <v>48</v>
      </c>
      <c r="F44" s="84" t="s">
        <v>33</v>
      </c>
      <c r="G44" s="84" t="s">
        <v>33</v>
      </c>
      <c r="H44" s="84" t="s">
        <v>33</v>
      </c>
      <c r="I44" s="84" t="s">
        <v>1417</v>
      </c>
      <c r="J44" s="84" t="s">
        <v>33</v>
      </c>
      <c r="K44" s="84" t="s">
        <v>304</v>
      </c>
      <c r="L44" s="84" t="s">
        <v>33</v>
      </c>
      <c r="M44" s="84" t="s">
        <v>33</v>
      </c>
      <c r="N44" s="82" t="s">
        <v>33</v>
      </c>
      <c r="O44" s="82" t="s">
        <v>33</v>
      </c>
      <c r="P44" s="84" t="s">
        <v>910</v>
      </c>
      <c r="Q44" s="84" t="s">
        <v>1418</v>
      </c>
      <c r="R44" s="84" t="s">
        <v>1419</v>
      </c>
      <c r="S44" s="84" t="s">
        <v>33</v>
      </c>
      <c r="T44" s="84"/>
      <c r="U44" s="84"/>
      <c r="V44" s="84"/>
      <c r="W44" s="84"/>
      <c r="X44" s="84"/>
      <c r="Y44" s="84" t="s">
        <v>33</v>
      </c>
      <c r="Z44" s="84"/>
      <c r="AA44" s="84"/>
      <c r="AB44" s="84"/>
    </row>
    <row r="45" spans="1:28" ht="15.75" customHeight="1">
      <c r="A45" s="80">
        <v>46246</v>
      </c>
      <c r="B45" s="84" t="s">
        <v>1420</v>
      </c>
      <c r="C45" s="84">
        <v>6382806068</v>
      </c>
      <c r="D45" s="84" t="s">
        <v>1421</v>
      </c>
      <c r="E45" s="81" t="s">
        <v>48</v>
      </c>
      <c r="F45" s="84" t="s">
        <v>33</v>
      </c>
      <c r="G45" s="84" t="s">
        <v>33</v>
      </c>
      <c r="H45" s="84" t="s">
        <v>33</v>
      </c>
      <c r="I45" s="84" t="s">
        <v>1422</v>
      </c>
      <c r="J45" s="84" t="s">
        <v>33</v>
      </c>
      <c r="K45" s="84" t="s">
        <v>304</v>
      </c>
      <c r="L45" s="84" t="s">
        <v>33</v>
      </c>
      <c r="M45" s="84" t="s">
        <v>33</v>
      </c>
      <c r="N45" s="82" t="s">
        <v>33</v>
      </c>
      <c r="O45" s="82" t="s">
        <v>33</v>
      </c>
      <c r="P45" s="84" t="s">
        <v>216</v>
      </c>
      <c r="Q45" s="84" t="s">
        <v>216</v>
      </c>
      <c r="R45" s="84" t="s">
        <v>1423</v>
      </c>
      <c r="S45" s="82" t="s">
        <v>33</v>
      </c>
      <c r="T45" s="84" t="s">
        <v>33</v>
      </c>
      <c r="U45" s="84"/>
      <c r="V45" s="84"/>
      <c r="W45" s="84"/>
      <c r="X45" s="84"/>
      <c r="Y45" s="84"/>
      <c r="Z45" s="84"/>
      <c r="AA45" s="84"/>
      <c r="AB45" s="84"/>
    </row>
    <row r="46" spans="1:28" ht="15.75" customHeight="1">
      <c r="A46" s="80">
        <v>46247</v>
      </c>
      <c r="B46" s="84" t="s">
        <v>1424</v>
      </c>
      <c r="C46" s="84">
        <v>8610559188</v>
      </c>
      <c r="D46" s="84" t="s">
        <v>1425</v>
      </c>
      <c r="E46" s="81" t="s">
        <v>48</v>
      </c>
      <c r="F46" s="84" t="s">
        <v>33</v>
      </c>
      <c r="G46" s="84" t="s">
        <v>33</v>
      </c>
      <c r="H46" s="84" t="s">
        <v>33</v>
      </c>
      <c r="I46" s="84" t="s">
        <v>1426</v>
      </c>
      <c r="J46" s="84"/>
      <c r="K46" s="84"/>
      <c r="L46" s="84" t="s">
        <v>33</v>
      </c>
      <c r="M46" s="84" t="s">
        <v>33</v>
      </c>
      <c r="N46" s="82" t="s">
        <v>33</v>
      </c>
      <c r="O46" s="82" t="s">
        <v>33</v>
      </c>
      <c r="P46" s="84" t="s">
        <v>1427</v>
      </c>
      <c r="Q46" s="84" t="s">
        <v>1428</v>
      </c>
      <c r="R46" s="84" t="s">
        <v>1429</v>
      </c>
      <c r="S46" s="84" t="s">
        <v>33</v>
      </c>
      <c r="T46" s="84" t="s">
        <v>33</v>
      </c>
      <c r="U46" s="84"/>
      <c r="V46" s="84"/>
      <c r="W46" s="84"/>
      <c r="X46" s="84"/>
      <c r="Y46" s="84"/>
      <c r="Z46" s="84"/>
      <c r="AA46" s="84"/>
      <c r="AB46" s="84"/>
    </row>
    <row r="47" spans="1:28" ht="15.75" customHeight="1">
      <c r="A47" s="80">
        <v>46247</v>
      </c>
      <c r="B47" s="84" t="s">
        <v>1430</v>
      </c>
      <c r="C47" s="84">
        <v>9994104665</v>
      </c>
      <c r="D47" s="84" t="s">
        <v>1431</v>
      </c>
      <c r="E47" s="81" t="s">
        <v>25</v>
      </c>
      <c r="F47" s="84" t="s">
        <v>33</v>
      </c>
      <c r="G47" s="84" t="s">
        <v>33</v>
      </c>
      <c r="H47" s="84"/>
      <c r="I47" s="84"/>
      <c r="J47" s="84"/>
      <c r="K47" s="84"/>
      <c r="L47" s="84" t="s">
        <v>33</v>
      </c>
      <c r="M47" s="84" t="s">
        <v>33</v>
      </c>
      <c r="N47" s="82" t="s">
        <v>33</v>
      </c>
      <c r="O47" s="82" t="s">
        <v>33</v>
      </c>
      <c r="P47" s="84"/>
      <c r="Q47" s="84"/>
      <c r="R47" s="84"/>
      <c r="S47" s="84"/>
      <c r="T47" s="84"/>
      <c r="U47" s="84"/>
      <c r="V47" s="84"/>
      <c r="W47" s="84"/>
      <c r="X47" s="84"/>
      <c r="Y47" s="84"/>
      <c r="Z47" s="84"/>
      <c r="AA47" s="84"/>
      <c r="AB47" s="84"/>
    </row>
    <row r="48" spans="1:28" ht="15.75" customHeight="1">
      <c r="A48" s="80">
        <v>46247</v>
      </c>
      <c r="B48" s="84" t="s">
        <v>770</v>
      </c>
      <c r="C48" s="84">
        <v>7373324869</v>
      </c>
      <c r="D48" s="84" t="s">
        <v>771</v>
      </c>
      <c r="E48" s="81" t="s">
        <v>25</v>
      </c>
      <c r="F48" s="84" t="s">
        <v>33</v>
      </c>
      <c r="G48" s="84" t="s">
        <v>33</v>
      </c>
      <c r="H48" s="84" t="s">
        <v>33</v>
      </c>
      <c r="I48" s="84" t="s">
        <v>482</v>
      </c>
      <c r="J48" s="84" t="s">
        <v>33</v>
      </c>
      <c r="K48" s="84" t="s">
        <v>304</v>
      </c>
      <c r="L48" s="84" t="s">
        <v>33</v>
      </c>
      <c r="M48" s="84" t="s">
        <v>33</v>
      </c>
      <c r="N48" s="82" t="s">
        <v>33</v>
      </c>
      <c r="O48" s="82" t="s">
        <v>33</v>
      </c>
      <c r="P48" s="84" t="s">
        <v>772</v>
      </c>
      <c r="Q48" s="84" t="s">
        <v>773</v>
      </c>
      <c r="R48" s="84"/>
      <c r="S48" s="84"/>
      <c r="T48" s="84"/>
      <c r="U48" s="84"/>
      <c r="V48" s="84"/>
      <c r="W48" s="84"/>
      <c r="X48" s="84"/>
      <c r="Y48" s="84"/>
      <c r="Z48" s="84"/>
      <c r="AA48" s="84"/>
      <c r="AB48" s="84"/>
    </row>
    <row r="49" spans="1:28" ht="15.75" customHeight="1">
      <c r="A49" s="80">
        <v>46248</v>
      </c>
      <c r="B49" s="99" t="s">
        <v>1432</v>
      </c>
      <c r="C49" s="84">
        <v>9677004644</v>
      </c>
      <c r="D49" s="84" t="s">
        <v>1433</v>
      </c>
      <c r="E49" s="17" t="s">
        <v>48</v>
      </c>
      <c r="F49" s="84" t="s">
        <v>33</v>
      </c>
      <c r="G49" s="84" t="s">
        <v>33</v>
      </c>
      <c r="H49" s="84"/>
      <c r="I49" s="84"/>
      <c r="J49" s="84"/>
      <c r="K49" s="84"/>
      <c r="L49" s="84" t="s">
        <v>33</v>
      </c>
      <c r="M49" s="84" t="s">
        <v>33</v>
      </c>
      <c r="N49" s="82" t="s">
        <v>33</v>
      </c>
      <c r="O49" s="82" t="s">
        <v>33</v>
      </c>
      <c r="P49" s="84" t="s">
        <v>1434</v>
      </c>
      <c r="Q49" s="84" t="s">
        <v>1435</v>
      </c>
      <c r="R49" s="84" t="s">
        <v>1436</v>
      </c>
      <c r="S49" s="83" t="s">
        <v>33</v>
      </c>
      <c r="T49" s="84"/>
      <c r="U49" s="84"/>
      <c r="V49" s="84"/>
      <c r="W49" s="84"/>
      <c r="X49" s="84"/>
      <c r="Y49" s="84"/>
      <c r="Z49" s="84"/>
      <c r="AA49" s="84"/>
      <c r="AB49" s="84"/>
    </row>
    <row r="50" spans="1:28" ht="15.75" customHeight="1">
      <c r="A50" s="80">
        <v>46251</v>
      </c>
      <c r="B50" s="99" t="s">
        <v>1437</v>
      </c>
      <c r="C50" s="84">
        <v>8754571244</v>
      </c>
      <c r="D50" s="84" t="s">
        <v>1438</v>
      </c>
      <c r="E50" s="17" t="s">
        <v>25</v>
      </c>
      <c r="F50" s="84" t="s">
        <v>33</v>
      </c>
      <c r="G50" s="84" t="s">
        <v>33</v>
      </c>
      <c r="H50" s="84" t="s">
        <v>33</v>
      </c>
      <c r="I50" s="84" t="s">
        <v>67</v>
      </c>
      <c r="J50" s="84" t="s">
        <v>33</v>
      </c>
      <c r="K50" s="84" t="s">
        <v>921</v>
      </c>
      <c r="L50" s="84" t="s">
        <v>33</v>
      </c>
      <c r="M50" s="84" t="s">
        <v>33</v>
      </c>
      <c r="N50" s="82" t="s">
        <v>33</v>
      </c>
      <c r="O50" s="82" t="s">
        <v>33</v>
      </c>
      <c r="P50" s="84" t="s">
        <v>1093</v>
      </c>
      <c r="Q50" s="84" t="s">
        <v>1439</v>
      </c>
      <c r="R50" s="84" t="s">
        <v>1440</v>
      </c>
      <c r="S50" s="82" t="s">
        <v>33</v>
      </c>
      <c r="T50" s="84"/>
      <c r="U50" s="84"/>
      <c r="V50" s="84"/>
      <c r="W50" s="84"/>
      <c r="X50" s="84"/>
      <c r="Y50" s="84"/>
      <c r="Z50" s="84"/>
      <c r="AA50" s="84"/>
      <c r="AB50" s="84"/>
    </row>
    <row r="51" spans="1:28" ht="15.75" customHeight="1">
      <c r="A51" s="80">
        <v>46251</v>
      </c>
      <c r="B51" s="99" t="s">
        <v>1441</v>
      </c>
      <c r="C51" s="84">
        <v>9443248249</v>
      </c>
      <c r="D51" s="99" t="s">
        <v>1442</v>
      </c>
      <c r="E51" s="17" t="s">
        <v>25</v>
      </c>
      <c r="F51" s="84" t="s">
        <v>33</v>
      </c>
      <c r="G51" s="84" t="s">
        <v>33</v>
      </c>
      <c r="H51" s="84"/>
      <c r="I51" s="84"/>
      <c r="J51" s="84"/>
      <c r="K51" s="84"/>
      <c r="L51" s="84" t="s">
        <v>33</v>
      </c>
      <c r="M51" s="84" t="s">
        <v>33</v>
      </c>
      <c r="N51" s="82" t="s">
        <v>33</v>
      </c>
      <c r="O51" s="82" t="s">
        <v>33</v>
      </c>
      <c r="P51" s="84"/>
      <c r="Q51" s="84"/>
      <c r="R51" s="84"/>
      <c r="S51" s="84"/>
      <c r="T51" s="84"/>
      <c r="U51" s="84"/>
      <c r="V51" s="84"/>
      <c r="W51" s="84"/>
      <c r="X51" s="84"/>
      <c r="Y51" s="84"/>
      <c r="Z51" s="84"/>
      <c r="AA51" s="84"/>
      <c r="AB51" s="84"/>
    </row>
    <row r="52" spans="1:28" ht="15.75" customHeight="1">
      <c r="A52" s="80">
        <v>46251</v>
      </c>
      <c r="B52" s="99" t="s">
        <v>1443</v>
      </c>
      <c r="C52" s="84">
        <v>9941325226</v>
      </c>
      <c r="D52" s="99" t="s">
        <v>1444</v>
      </c>
      <c r="E52" s="17" t="s">
        <v>251</v>
      </c>
      <c r="F52" s="84" t="s">
        <v>33</v>
      </c>
      <c r="G52" s="87" t="s">
        <v>37</v>
      </c>
      <c r="H52" s="84"/>
      <c r="I52" s="84"/>
      <c r="J52" s="84"/>
      <c r="K52" s="84"/>
      <c r="L52" s="84" t="s">
        <v>33</v>
      </c>
      <c r="M52" s="84" t="s">
        <v>33</v>
      </c>
      <c r="N52" s="82" t="s">
        <v>33</v>
      </c>
      <c r="O52" s="82" t="s">
        <v>33</v>
      </c>
      <c r="P52" s="84"/>
      <c r="Q52" s="84"/>
      <c r="R52" s="84"/>
      <c r="S52" s="84"/>
      <c r="T52" s="84"/>
      <c r="U52" s="84"/>
      <c r="V52" s="84"/>
      <c r="W52" s="84"/>
      <c r="X52" s="84"/>
      <c r="Y52" s="84"/>
      <c r="Z52" s="84"/>
      <c r="AA52" s="84"/>
      <c r="AB52" s="84"/>
    </row>
    <row r="53" spans="1:28" ht="15.75" customHeight="1">
      <c r="A53" s="80">
        <v>46252</v>
      </c>
      <c r="B53" s="99" t="s">
        <v>1445</v>
      </c>
      <c r="C53" s="84">
        <v>8939898637</v>
      </c>
      <c r="D53" s="99" t="s">
        <v>1446</v>
      </c>
      <c r="E53" s="17" t="s">
        <v>25</v>
      </c>
      <c r="F53" s="84" t="s">
        <v>33</v>
      </c>
      <c r="G53" s="84" t="s">
        <v>33</v>
      </c>
      <c r="H53" s="84"/>
      <c r="I53" s="84"/>
      <c r="J53" s="84"/>
      <c r="K53" s="84"/>
      <c r="L53" s="84" t="s">
        <v>33</v>
      </c>
      <c r="M53" s="84" t="s">
        <v>33</v>
      </c>
      <c r="N53" s="82" t="s">
        <v>33</v>
      </c>
      <c r="O53" s="82" t="s">
        <v>33</v>
      </c>
      <c r="P53" s="84" t="s">
        <v>997</v>
      </c>
      <c r="Q53" s="84" t="s">
        <v>1447</v>
      </c>
      <c r="R53" s="84" t="s">
        <v>1448</v>
      </c>
      <c r="S53" s="82" t="s">
        <v>33</v>
      </c>
      <c r="T53" s="84"/>
      <c r="U53" s="84"/>
      <c r="V53" s="84"/>
      <c r="W53" s="84"/>
      <c r="X53" s="84"/>
      <c r="Y53" s="84"/>
      <c r="Z53" s="84"/>
      <c r="AA53" s="84"/>
      <c r="AB53" s="84"/>
    </row>
    <row r="54" spans="1:28" ht="15.75" customHeight="1">
      <c r="A54" s="80">
        <v>46253</v>
      </c>
      <c r="B54" s="99" t="s">
        <v>1248</v>
      </c>
      <c r="C54" s="84">
        <v>8375905995</v>
      </c>
      <c r="D54" s="99" t="s">
        <v>1249</v>
      </c>
      <c r="E54" s="17" t="s">
        <v>25</v>
      </c>
      <c r="F54" s="84" t="s">
        <v>62</v>
      </c>
      <c r="G54" s="84" t="s">
        <v>33</v>
      </c>
      <c r="H54" s="84"/>
      <c r="I54" s="84"/>
      <c r="J54" s="84"/>
      <c r="K54" s="84"/>
      <c r="L54" s="84" t="s">
        <v>33</v>
      </c>
      <c r="M54" s="84" t="s">
        <v>33</v>
      </c>
      <c r="N54" s="82" t="s">
        <v>33</v>
      </c>
      <c r="O54" s="82" t="s">
        <v>33</v>
      </c>
      <c r="P54" s="84" t="s">
        <v>1250</v>
      </c>
      <c r="Q54" s="84" t="s">
        <v>1251</v>
      </c>
      <c r="R54" s="84" t="s">
        <v>1252</v>
      </c>
      <c r="S54" s="84" t="s">
        <v>33</v>
      </c>
      <c r="T54" s="84"/>
      <c r="U54" s="84"/>
      <c r="V54" s="84"/>
      <c r="W54" s="84"/>
      <c r="X54" s="84"/>
      <c r="Y54" s="84"/>
      <c r="Z54" s="84"/>
      <c r="AA54" s="84"/>
      <c r="AB54" s="84"/>
    </row>
    <row r="55" spans="1:28" ht="15.75" customHeight="1">
      <c r="A55" s="80">
        <v>46253</v>
      </c>
      <c r="B55" s="99" t="s">
        <v>1449</v>
      </c>
      <c r="C55" s="84">
        <v>9894485282</v>
      </c>
      <c r="D55" s="99" t="s">
        <v>1450</v>
      </c>
      <c r="E55" s="17" t="s">
        <v>48</v>
      </c>
      <c r="F55" s="84" t="s">
        <v>33</v>
      </c>
      <c r="G55" s="84" t="s">
        <v>33</v>
      </c>
      <c r="H55" s="84"/>
      <c r="I55" s="84"/>
      <c r="J55" s="84"/>
      <c r="K55" s="84"/>
      <c r="L55" s="84" t="s">
        <v>33</v>
      </c>
      <c r="M55" s="84" t="s">
        <v>33</v>
      </c>
      <c r="N55" s="82" t="s">
        <v>33</v>
      </c>
      <c r="O55" s="82" t="s">
        <v>33</v>
      </c>
      <c r="P55" s="84" t="s">
        <v>1451</v>
      </c>
      <c r="Q55" s="84" t="s">
        <v>1452</v>
      </c>
      <c r="R55" s="84" t="s">
        <v>1453</v>
      </c>
      <c r="S55" s="82" t="s">
        <v>33</v>
      </c>
      <c r="T55" s="84" t="s">
        <v>33</v>
      </c>
      <c r="U55" s="84"/>
      <c r="V55" s="84"/>
      <c r="W55" s="84"/>
      <c r="X55" s="84"/>
      <c r="Y55" s="84"/>
      <c r="Z55" s="84"/>
      <c r="AA55" s="84"/>
      <c r="AB55" s="84"/>
    </row>
    <row r="56" spans="1:28" ht="15.75" customHeight="1">
      <c r="A56" s="80">
        <v>46254</v>
      </c>
      <c r="B56" s="99" t="s">
        <v>1454</v>
      </c>
      <c r="C56" s="84">
        <v>7904430409</v>
      </c>
      <c r="D56" s="99" t="s">
        <v>1455</v>
      </c>
      <c r="E56" s="17" t="s">
        <v>48</v>
      </c>
      <c r="F56" s="84" t="s">
        <v>33</v>
      </c>
      <c r="G56" s="84" t="s">
        <v>33</v>
      </c>
      <c r="H56" s="84" t="s">
        <v>33</v>
      </c>
      <c r="I56" s="84" t="s">
        <v>1456</v>
      </c>
      <c r="J56" s="84" t="s">
        <v>33</v>
      </c>
      <c r="K56" s="84" t="s">
        <v>1456</v>
      </c>
      <c r="L56" s="84" t="s">
        <v>33</v>
      </c>
      <c r="M56" s="84" t="s">
        <v>33</v>
      </c>
      <c r="N56" s="82" t="s">
        <v>33</v>
      </c>
      <c r="O56" s="82" t="s">
        <v>33</v>
      </c>
      <c r="P56" s="84" t="s">
        <v>1457</v>
      </c>
      <c r="Q56" s="84" t="s">
        <v>1458</v>
      </c>
      <c r="R56" s="84" t="s">
        <v>1459</v>
      </c>
      <c r="S56" s="82" t="s">
        <v>33</v>
      </c>
      <c r="T56" s="84"/>
      <c r="U56" s="84"/>
      <c r="V56" s="84"/>
      <c r="W56" s="84"/>
      <c r="X56" s="84"/>
      <c r="Y56" s="84"/>
      <c r="Z56" s="84"/>
      <c r="AA56" s="84"/>
      <c r="AB56" s="84"/>
    </row>
    <row r="57" spans="1:28" ht="15.75" customHeight="1">
      <c r="A57" s="80">
        <v>46254</v>
      </c>
      <c r="B57" s="99" t="s">
        <v>1437</v>
      </c>
      <c r="C57" s="84">
        <v>8754571244</v>
      </c>
      <c r="D57" s="99" t="s">
        <v>1460</v>
      </c>
      <c r="E57" s="17" t="s">
        <v>25</v>
      </c>
      <c r="F57" s="84" t="s">
        <v>62</v>
      </c>
      <c r="G57" s="84" t="s">
        <v>33</v>
      </c>
      <c r="H57" s="84"/>
      <c r="I57" s="84"/>
      <c r="J57" s="84"/>
      <c r="K57" s="84"/>
      <c r="L57" s="84" t="s">
        <v>33</v>
      </c>
      <c r="M57" s="84" t="s">
        <v>33</v>
      </c>
      <c r="N57" s="82" t="s">
        <v>33</v>
      </c>
      <c r="O57" s="82" t="s">
        <v>33</v>
      </c>
      <c r="P57" s="84"/>
      <c r="Q57" s="84"/>
      <c r="R57" s="84"/>
      <c r="S57" s="84"/>
      <c r="T57" s="84"/>
      <c r="U57" s="84"/>
      <c r="V57" s="84"/>
      <c r="W57" s="84"/>
      <c r="X57" s="84"/>
      <c r="Y57" s="84"/>
      <c r="Z57" s="84"/>
      <c r="AA57" s="84"/>
      <c r="AB57" s="84"/>
    </row>
    <row r="58" spans="1:28" ht="17.25" customHeight="1">
      <c r="A58" s="80">
        <v>46254</v>
      </c>
      <c r="B58" s="99" t="s">
        <v>1461</v>
      </c>
      <c r="C58" s="84">
        <v>8248252151</v>
      </c>
      <c r="D58" s="99" t="s">
        <v>1462</v>
      </c>
      <c r="E58" s="17" t="s">
        <v>48</v>
      </c>
      <c r="F58" s="84" t="s">
        <v>33</v>
      </c>
      <c r="G58" s="84" t="s">
        <v>33</v>
      </c>
      <c r="H58" s="84"/>
      <c r="I58" s="84"/>
      <c r="J58" s="84"/>
      <c r="K58" s="84"/>
      <c r="L58" s="84" t="s">
        <v>33</v>
      </c>
      <c r="M58" s="84" t="s">
        <v>33</v>
      </c>
      <c r="N58" s="82" t="s">
        <v>33</v>
      </c>
      <c r="O58" s="82" t="s">
        <v>33</v>
      </c>
      <c r="P58" s="53" t="s">
        <v>1463</v>
      </c>
      <c r="Q58" s="53" t="s">
        <v>1464</v>
      </c>
      <c r="R58" s="84" t="s">
        <v>1465</v>
      </c>
      <c r="S58" s="82" t="s">
        <v>33</v>
      </c>
      <c r="T58" s="84" t="s">
        <v>33</v>
      </c>
      <c r="U58" s="84"/>
      <c r="V58" s="84"/>
      <c r="W58" s="84"/>
      <c r="X58" s="84"/>
      <c r="Y58" s="84"/>
      <c r="Z58" s="84"/>
      <c r="AA58" s="84"/>
      <c r="AB58" s="84" t="s">
        <v>33</v>
      </c>
    </row>
    <row r="59" spans="1:28" ht="15.75" customHeight="1">
      <c r="A59" s="80">
        <v>46254</v>
      </c>
      <c r="B59" s="99" t="s">
        <v>1404</v>
      </c>
      <c r="C59" s="84">
        <v>9952545034</v>
      </c>
      <c r="D59" s="99" t="s">
        <v>1405</v>
      </c>
      <c r="E59" s="17" t="s">
        <v>25</v>
      </c>
      <c r="F59" s="84" t="s">
        <v>62</v>
      </c>
      <c r="G59" s="84" t="s">
        <v>33</v>
      </c>
      <c r="H59" s="84" t="s">
        <v>33</v>
      </c>
      <c r="I59" s="84" t="s">
        <v>1406</v>
      </c>
      <c r="J59" s="84" t="s">
        <v>33</v>
      </c>
      <c r="K59" s="84" t="s">
        <v>1466</v>
      </c>
      <c r="L59" s="84" t="s">
        <v>33</v>
      </c>
      <c r="M59" s="84" t="s">
        <v>33</v>
      </c>
      <c r="N59" s="82" t="s">
        <v>33</v>
      </c>
      <c r="O59" s="82" t="s">
        <v>33</v>
      </c>
      <c r="P59" s="84" t="s">
        <v>893</v>
      </c>
      <c r="Q59" s="84" t="s">
        <v>1065</v>
      </c>
      <c r="R59" s="84"/>
      <c r="S59" s="84"/>
      <c r="T59" s="84"/>
      <c r="U59" s="84"/>
      <c r="V59" s="84"/>
      <c r="W59" s="84"/>
      <c r="X59" s="84"/>
      <c r="Y59" s="84"/>
      <c r="Z59" s="84"/>
      <c r="AA59" s="84"/>
      <c r="AB59" s="84"/>
    </row>
    <row r="60" spans="1:28" ht="15.75" customHeight="1">
      <c r="A60" s="80">
        <v>46255</v>
      </c>
      <c r="B60" s="99" t="s">
        <v>1467</v>
      </c>
      <c r="C60" s="84">
        <v>9092005575</v>
      </c>
      <c r="D60" s="99" t="s">
        <v>1468</v>
      </c>
      <c r="E60" s="17" t="s">
        <v>25</v>
      </c>
      <c r="F60" s="84" t="s">
        <v>33</v>
      </c>
      <c r="G60" s="84" t="s">
        <v>33</v>
      </c>
      <c r="H60" s="84" t="s">
        <v>33</v>
      </c>
      <c r="I60" s="84" t="s">
        <v>1469</v>
      </c>
      <c r="J60" s="84" t="s">
        <v>33</v>
      </c>
      <c r="K60" s="84" t="s">
        <v>1469</v>
      </c>
      <c r="L60" s="84" t="s">
        <v>33</v>
      </c>
      <c r="M60" s="84" t="s">
        <v>33</v>
      </c>
      <c r="N60" s="82" t="s">
        <v>33</v>
      </c>
      <c r="O60" s="82" t="s">
        <v>33</v>
      </c>
      <c r="P60" s="84" t="s">
        <v>1470</v>
      </c>
      <c r="Q60" s="84" t="s">
        <v>1471</v>
      </c>
      <c r="R60" s="84"/>
      <c r="S60" s="84"/>
      <c r="T60" s="84"/>
      <c r="U60" s="84"/>
      <c r="V60" s="84"/>
      <c r="W60" s="84"/>
      <c r="X60" s="84"/>
      <c r="Y60" s="84"/>
      <c r="Z60" s="84"/>
      <c r="AA60" s="84"/>
      <c r="AB60" s="84"/>
    </row>
    <row r="61" spans="1:28" ht="15.75" customHeight="1">
      <c r="A61" s="80">
        <v>46255</v>
      </c>
      <c r="B61" s="99" t="s">
        <v>1472</v>
      </c>
      <c r="C61" s="84">
        <v>8056273159</v>
      </c>
      <c r="D61" s="99" t="s">
        <v>1473</v>
      </c>
      <c r="E61" s="17" t="s">
        <v>25</v>
      </c>
      <c r="F61" s="84" t="s">
        <v>33</v>
      </c>
      <c r="G61" s="84" t="s">
        <v>33</v>
      </c>
      <c r="H61" s="84"/>
      <c r="I61" s="84"/>
      <c r="J61" s="84"/>
      <c r="K61" s="84"/>
      <c r="L61" s="84" t="s">
        <v>33</v>
      </c>
      <c r="M61" s="84" t="s">
        <v>33</v>
      </c>
      <c r="N61" s="82" t="s">
        <v>33</v>
      </c>
      <c r="O61" s="82" t="s">
        <v>33</v>
      </c>
      <c r="P61" s="84" t="s">
        <v>1474</v>
      </c>
      <c r="Q61" s="84" t="s">
        <v>1475</v>
      </c>
      <c r="R61" s="84" t="s">
        <v>1476</v>
      </c>
      <c r="S61" s="82" t="s">
        <v>33</v>
      </c>
      <c r="T61" s="84"/>
      <c r="U61" s="84"/>
      <c r="V61" s="84"/>
      <c r="W61" s="84"/>
      <c r="X61" s="84"/>
      <c r="Y61" s="84"/>
      <c r="Z61" s="84"/>
      <c r="AA61" s="84"/>
      <c r="AB61" s="84"/>
    </row>
    <row r="62" spans="1:28" ht="15.75" customHeight="1">
      <c r="A62" s="80">
        <v>46258</v>
      </c>
      <c r="B62" s="99" t="s">
        <v>1477</v>
      </c>
      <c r="C62" s="84">
        <v>9944900705</v>
      </c>
      <c r="D62" s="99" t="s">
        <v>1478</v>
      </c>
      <c r="E62" s="17" t="s">
        <v>1479</v>
      </c>
      <c r="F62" s="84" t="s">
        <v>33</v>
      </c>
      <c r="G62" s="84" t="s">
        <v>33</v>
      </c>
      <c r="H62" s="84"/>
      <c r="I62" s="84"/>
      <c r="J62" s="84"/>
      <c r="K62" s="84"/>
      <c r="L62" s="84" t="s">
        <v>33</v>
      </c>
      <c r="M62" s="84" t="s">
        <v>33</v>
      </c>
      <c r="N62" s="82" t="s">
        <v>33</v>
      </c>
      <c r="O62" s="82" t="s">
        <v>33</v>
      </c>
      <c r="P62" s="84"/>
      <c r="Q62" s="84"/>
      <c r="R62" s="84"/>
      <c r="S62" s="84"/>
      <c r="T62" s="84"/>
      <c r="U62" s="84"/>
      <c r="V62" s="84"/>
      <c r="W62" s="84"/>
      <c r="X62" s="84"/>
      <c r="Y62" s="84"/>
      <c r="Z62" s="84"/>
      <c r="AA62" s="84"/>
      <c r="AB62" s="84"/>
    </row>
    <row r="63" spans="1:28" ht="15.75" customHeight="1">
      <c r="A63" s="80">
        <v>46258</v>
      </c>
      <c r="B63" s="99" t="s">
        <v>30</v>
      </c>
      <c r="C63" s="84">
        <v>8105047843</v>
      </c>
      <c r="D63" s="99" t="s">
        <v>31</v>
      </c>
      <c r="E63" s="17" t="s">
        <v>1479</v>
      </c>
      <c r="F63" s="84" t="s">
        <v>33</v>
      </c>
      <c r="G63" s="87" t="s">
        <v>37</v>
      </c>
      <c r="H63" s="84" t="s">
        <v>300</v>
      </c>
      <c r="I63" s="84" t="s">
        <v>35</v>
      </c>
      <c r="J63" s="84" t="s">
        <v>33</v>
      </c>
      <c r="K63" s="84" t="s">
        <v>304</v>
      </c>
      <c r="L63" s="84" t="s">
        <v>33</v>
      </c>
      <c r="M63" s="84" t="s">
        <v>33</v>
      </c>
      <c r="N63" s="82" t="s">
        <v>33</v>
      </c>
      <c r="O63" s="82" t="s">
        <v>33</v>
      </c>
      <c r="P63" s="84" t="s">
        <v>511</v>
      </c>
      <c r="Q63" s="84" t="s">
        <v>38</v>
      </c>
      <c r="R63" s="84" t="s">
        <v>201</v>
      </c>
      <c r="S63" s="82" t="s">
        <v>33</v>
      </c>
      <c r="T63" s="84"/>
      <c r="U63" s="84"/>
      <c r="V63" s="84"/>
      <c r="W63" s="84"/>
      <c r="X63" s="84"/>
      <c r="Y63" s="84"/>
      <c r="Z63" s="84"/>
      <c r="AA63" s="84"/>
      <c r="AB63" s="84"/>
    </row>
    <row r="64" spans="1:28" ht="15.75" customHeight="1">
      <c r="A64" s="80">
        <v>46258</v>
      </c>
      <c r="B64" s="99" t="s">
        <v>1114</v>
      </c>
      <c r="C64" s="84">
        <v>9788889324</v>
      </c>
      <c r="D64" s="99" t="s">
        <v>1115</v>
      </c>
      <c r="E64" s="17" t="s">
        <v>26</v>
      </c>
      <c r="F64" s="84" t="s">
        <v>97</v>
      </c>
      <c r="G64" s="84" t="s">
        <v>33</v>
      </c>
      <c r="H64" s="84"/>
      <c r="I64" s="84"/>
      <c r="J64" s="84"/>
      <c r="K64" s="84"/>
      <c r="L64" s="84" t="s">
        <v>33</v>
      </c>
      <c r="M64" s="84" t="s">
        <v>33</v>
      </c>
      <c r="N64" s="82" t="s">
        <v>33</v>
      </c>
      <c r="O64" s="82" t="s">
        <v>33</v>
      </c>
      <c r="P64" s="84" t="s">
        <v>1480</v>
      </c>
      <c r="Q64" s="84" t="s">
        <v>1481</v>
      </c>
      <c r="R64" s="84" t="s">
        <v>1118</v>
      </c>
      <c r="S64" s="82" t="s">
        <v>33</v>
      </c>
      <c r="T64" s="84"/>
      <c r="U64" s="84"/>
      <c r="V64" s="84"/>
      <c r="W64" s="84"/>
      <c r="X64" s="84" t="s">
        <v>33</v>
      </c>
      <c r="Y64" s="84"/>
      <c r="Z64" s="84"/>
      <c r="AA64" s="84"/>
      <c r="AB64" s="84"/>
    </row>
    <row r="65" spans="1:28" ht="15.75" customHeight="1">
      <c r="A65" s="80">
        <v>46259</v>
      </c>
      <c r="B65" s="99" t="s">
        <v>1482</v>
      </c>
      <c r="C65" s="84">
        <v>9578613420</v>
      </c>
      <c r="D65" s="99" t="s">
        <v>1483</v>
      </c>
      <c r="E65" s="17" t="s">
        <v>55</v>
      </c>
      <c r="F65" s="84" t="s">
        <v>33</v>
      </c>
      <c r="G65" s="84" t="s">
        <v>33</v>
      </c>
      <c r="H65" s="84"/>
      <c r="I65" s="84"/>
      <c r="J65" s="84"/>
      <c r="K65" s="84"/>
      <c r="L65" s="84" t="s">
        <v>33</v>
      </c>
      <c r="M65" s="84" t="s">
        <v>33</v>
      </c>
      <c r="N65" s="82" t="s">
        <v>33</v>
      </c>
      <c r="O65" s="82" t="s">
        <v>33</v>
      </c>
      <c r="P65" s="84" t="s">
        <v>1484</v>
      </c>
      <c r="Q65" s="84" t="s">
        <v>1485</v>
      </c>
      <c r="R65" s="84" t="s">
        <v>1486</v>
      </c>
      <c r="S65" s="82" t="s">
        <v>33</v>
      </c>
      <c r="T65" s="84" t="s">
        <v>33</v>
      </c>
      <c r="U65" s="84" t="s">
        <v>33</v>
      </c>
      <c r="V65" s="84"/>
      <c r="W65" s="84" t="s">
        <v>33</v>
      </c>
      <c r="X65" s="84"/>
      <c r="Y65" s="84"/>
      <c r="Z65" s="84"/>
      <c r="AA65" s="84" t="s">
        <v>33</v>
      </c>
      <c r="AB65" s="84"/>
    </row>
    <row r="66" spans="1:28" ht="15.75" customHeight="1">
      <c r="A66" s="80">
        <v>46259</v>
      </c>
      <c r="B66" s="99" t="s">
        <v>1487</v>
      </c>
      <c r="C66" s="84">
        <v>9791099552</v>
      </c>
      <c r="D66" s="99" t="s">
        <v>1488</v>
      </c>
      <c r="E66" s="17" t="s">
        <v>25</v>
      </c>
      <c r="F66" s="84" t="s">
        <v>33</v>
      </c>
      <c r="G66" s="84" t="s">
        <v>33</v>
      </c>
      <c r="H66" s="84"/>
      <c r="I66" s="84"/>
      <c r="J66" s="84"/>
      <c r="K66" s="84"/>
      <c r="L66" s="84" t="s">
        <v>33</v>
      </c>
      <c r="M66" s="84" t="s">
        <v>33</v>
      </c>
      <c r="N66" s="82" t="s">
        <v>33</v>
      </c>
      <c r="O66" s="82" t="s">
        <v>33</v>
      </c>
      <c r="P66" s="84" t="s">
        <v>1489</v>
      </c>
      <c r="Q66" s="84" t="s">
        <v>1490</v>
      </c>
      <c r="R66" s="84" t="s">
        <v>1491</v>
      </c>
      <c r="S66" s="84" t="s">
        <v>33</v>
      </c>
      <c r="T66" s="84"/>
      <c r="U66" s="84"/>
      <c r="V66" s="84"/>
      <c r="W66" s="84"/>
      <c r="X66" s="84"/>
      <c r="Y66" s="84"/>
      <c r="Z66" s="84"/>
      <c r="AA66" s="84"/>
      <c r="AB66" s="84"/>
    </row>
    <row r="67" spans="1:28" ht="15.75" customHeight="1">
      <c r="A67" s="80">
        <v>46260</v>
      </c>
      <c r="B67" s="99" t="s">
        <v>1492</v>
      </c>
      <c r="C67" s="84">
        <v>8122872186</v>
      </c>
      <c r="D67" s="99" t="s">
        <v>1493</v>
      </c>
      <c r="E67" s="17" t="s">
        <v>48</v>
      </c>
      <c r="F67" s="84" t="s">
        <v>33</v>
      </c>
      <c r="G67" s="87" t="s">
        <v>37</v>
      </c>
      <c r="H67" s="84" t="s">
        <v>33</v>
      </c>
      <c r="I67" s="84" t="s">
        <v>1494</v>
      </c>
      <c r="J67" s="84"/>
      <c r="K67" s="84"/>
      <c r="L67" s="84" t="s">
        <v>33</v>
      </c>
      <c r="M67" s="84" t="s">
        <v>33</v>
      </c>
      <c r="N67" s="82" t="s">
        <v>33</v>
      </c>
      <c r="O67" s="82" t="s">
        <v>33</v>
      </c>
      <c r="P67" s="84" t="s">
        <v>153</v>
      </c>
      <c r="Q67" s="84" t="s">
        <v>1495</v>
      </c>
      <c r="R67" s="84" t="s">
        <v>1496</v>
      </c>
      <c r="S67" s="82" t="s">
        <v>33</v>
      </c>
      <c r="T67" s="84"/>
      <c r="U67" s="84"/>
      <c r="V67" s="84"/>
      <c r="W67" s="84"/>
      <c r="X67" s="84"/>
      <c r="Y67" s="84"/>
      <c r="Z67" s="84" t="s">
        <v>33</v>
      </c>
      <c r="AA67" s="84"/>
      <c r="AB67" s="84"/>
    </row>
    <row r="68" spans="1:28" ht="15.75" customHeight="1">
      <c r="A68" s="80">
        <v>46260</v>
      </c>
      <c r="B68" s="99" t="s">
        <v>1472</v>
      </c>
      <c r="C68" s="84">
        <v>8056273159</v>
      </c>
      <c r="D68" s="99" t="s">
        <v>1473</v>
      </c>
      <c r="E68" s="17" t="s">
        <v>25</v>
      </c>
      <c r="F68" s="84" t="s">
        <v>62</v>
      </c>
      <c r="G68" s="84" t="s">
        <v>33</v>
      </c>
      <c r="H68" s="84"/>
      <c r="I68" s="84"/>
      <c r="J68" s="84"/>
      <c r="K68" s="84"/>
      <c r="L68" s="84" t="s">
        <v>33</v>
      </c>
      <c r="M68" s="84" t="s">
        <v>33</v>
      </c>
      <c r="N68" s="82" t="s">
        <v>33</v>
      </c>
      <c r="O68" s="82" t="s">
        <v>33</v>
      </c>
      <c r="P68" s="84" t="s">
        <v>1474</v>
      </c>
      <c r="Q68" s="84" t="s">
        <v>1475</v>
      </c>
      <c r="R68" s="84" t="s">
        <v>1476</v>
      </c>
      <c r="S68" s="82" t="s">
        <v>33</v>
      </c>
      <c r="T68" s="84"/>
      <c r="U68" s="84"/>
      <c r="V68" s="84"/>
      <c r="W68" s="84"/>
      <c r="X68" s="84"/>
      <c r="Y68" s="84"/>
      <c r="Z68" s="84"/>
      <c r="AA68" s="84"/>
      <c r="AB68" s="84"/>
    </row>
    <row r="69" spans="1:28" ht="15.75" customHeight="1">
      <c r="A69" s="80">
        <v>46260</v>
      </c>
      <c r="B69" s="99" t="s">
        <v>1497</v>
      </c>
      <c r="C69" s="84">
        <v>9884375588</v>
      </c>
      <c r="D69" s="99" t="s">
        <v>1498</v>
      </c>
      <c r="E69" s="17" t="s">
        <v>319</v>
      </c>
      <c r="F69" s="84" t="s">
        <v>33</v>
      </c>
      <c r="G69" s="84" t="s">
        <v>33</v>
      </c>
      <c r="H69" s="84"/>
      <c r="I69" s="84"/>
      <c r="J69" s="84"/>
      <c r="K69" s="84"/>
      <c r="L69" s="84" t="s">
        <v>33</v>
      </c>
      <c r="M69" s="84" t="s">
        <v>33</v>
      </c>
      <c r="N69" s="82" t="s">
        <v>33</v>
      </c>
      <c r="O69" s="82" t="s">
        <v>33</v>
      </c>
      <c r="P69" s="84" t="s">
        <v>1499</v>
      </c>
      <c r="Q69" s="84" t="s">
        <v>1500</v>
      </c>
      <c r="R69" s="84" t="s">
        <v>1501</v>
      </c>
      <c r="S69" s="84" t="s">
        <v>33</v>
      </c>
      <c r="T69" s="84" t="s">
        <v>33</v>
      </c>
      <c r="U69" s="84" t="s">
        <v>33</v>
      </c>
      <c r="V69" s="84" t="s">
        <v>33</v>
      </c>
      <c r="W69" s="84" t="s">
        <v>33</v>
      </c>
      <c r="X69" s="84"/>
      <c r="Y69" s="84" t="s">
        <v>33</v>
      </c>
      <c r="Z69" s="84"/>
      <c r="AA69" s="84"/>
      <c r="AB69" s="84"/>
    </row>
    <row r="70" spans="1:28" ht="15.75" customHeight="1">
      <c r="A70" s="80">
        <v>46262</v>
      </c>
      <c r="B70" s="99" t="s">
        <v>1502</v>
      </c>
      <c r="C70" s="84">
        <v>9937254578</v>
      </c>
      <c r="D70" s="99" t="s">
        <v>1503</v>
      </c>
      <c r="E70" s="17" t="s">
        <v>48</v>
      </c>
      <c r="F70" s="84" t="s">
        <v>33</v>
      </c>
      <c r="G70" s="84" t="s">
        <v>33</v>
      </c>
      <c r="H70" s="84"/>
      <c r="I70" s="84"/>
      <c r="J70" s="84"/>
      <c r="K70" s="84"/>
      <c r="L70" s="84" t="s">
        <v>33</v>
      </c>
      <c r="M70" s="84" t="s">
        <v>33</v>
      </c>
      <c r="N70" s="82" t="s">
        <v>33</v>
      </c>
      <c r="O70" s="82" t="s">
        <v>33</v>
      </c>
      <c r="P70" s="84"/>
      <c r="Q70" s="84"/>
      <c r="R70" s="84"/>
      <c r="S70" s="84"/>
      <c r="T70" s="84"/>
      <c r="U70" s="84"/>
      <c r="V70" s="84"/>
      <c r="W70" s="84"/>
      <c r="X70" s="84"/>
      <c r="Y70" s="84"/>
      <c r="Z70" s="84"/>
      <c r="AA70" s="84"/>
      <c r="AB70" s="84"/>
    </row>
    <row r="71" spans="1:28" ht="15.75" customHeight="1">
      <c r="A71" s="80">
        <v>46262</v>
      </c>
      <c r="B71" s="99" t="s">
        <v>1487</v>
      </c>
      <c r="C71" s="84">
        <v>9791099552</v>
      </c>
      <c r="D71" s="99" t="s">
        <v>1488</v>
      </c>
      <c r="E71" s="17" t="s">
        <v>25</v>
      </c>
      <c r="F71" s="84" t="s">
        <v>62</v>
      </c>
      <c r="G71" s="84" t="s">
        <v>33</v>
      </c>
      <c r="H71" s="84"/>
      <c r="I71" s="84"/>
      <c r="J71" s="84"/>
      <c r="K71" s="84"/>
      <c r="L71" s="84" t="s">
        <v>33</v>
      </c>
      <c r="M71" s="84" t="s">
        <v>33</v>
      </c>
      <c r="N71" s="82" t="s">
        <v>33</v>
      </c>
      <c r="O71" s="82" t="s">
        <v>33</v>
      </c>
      <c r="P71" s="84" t="s">
        <v>1489</v>
      </c>
      <c r="Q71" s="84" t="s">
        <v>1490</v>
      </c>
      <c r="R71" s="84" t="s">
        <v>1491</v>
      </c>
      <c r="S71" s="82" t="s">
        <v>33</v>
      </c>
      <c r="T71" s="84"/>
      <c r="U71" s="84"/>
      <c r="V71" s="84"/>
      <c r="W71" s="84"/>
      <c r="X71" s="84"/>
      <c r="Y71" s="84"/>
      <c r="Z71" s="84"/>
      <c r="AA71" s="84"/>
      <c r="AB71" s="84"/>
    </row>
    <row r="72" spans="1:28" ht="14.5" customHeight="1">
      <c r="A72" s="80">
        <v>46265</v>
      </c>
      <c r="B72" s="99" t="s">
        <v>1504</v>
      </c>
      <c r="C72" s="84">
        <v>9940354610</v>
      </c>
      <c r="D72" s="99" t="s">
        <v>1505</v>
      </c>
      <c r="E72" s="99" t="s">
        <v>48</v>
      </c>
      <c r="F72" s="99" t="s">
        <v>62</v>
      </c>
      <c r="G72" s="99" t="s">
        <v>33</v>
      </c>
      <c r="H72" s="99"/>
      <c r="I72" s="99"/>
      <c r="J72" s="99"/>
      <c r="K72" s="99"/>
      <c r="L72" s="84" t="s">
        <v>33</v>
      </c>
      <c r="M72" s="84" t="s">
        <v>33</v>
      </c>
      <c r="N72" s="82" t="s">
        <v>33</v>
      </c>
      <c r="O72" s="82" t="s">
        <v>33</v>
      </c>
      <c r="P72" s="99"/>
      <c r="Q72" s="99"/>
      <c r="R72" s="99"/>
      <c r="S72" s="99"/>
      <c r="T72" s="99"/>
      <c r="U72" s="99"/>
      <c r="V72" s="99"/>
      <c r="W72" s="99"/>
      <c r="X72" s="99"/>
      <c r="Y72" s="99"/>
      <c r="Z72" s="99"/>
      <c r="AA72" s="99"/>
      <c r="AB72" s="99"/>
    </row>
    <row r="73" spans="1:28" ht="14.5" customHeight="1">
      <c r="A73" s="80">
        <v>46265</v>
      </c>
      <c r="B73" s="99" t="s">
        <v>1506</v>
      </c>
      <c r="C73" s="84">
        <v>6369307017</v>
      </c>
      <c r="D73" s="99" t="s">
        <v>1507</v>
      </c>
      <c r="E73" s="99" t="s">
        <v>276</v>
      </c>
      <c r="F73" s="99" t="s">
        <v>33</v>
      </c>
      <c r="G73" s="99" t="s">
        <v>33</v>
      </c>
      <c r="H73" s="99"/>
      <c r="I73" s="99" t="s">
        <v>67</v>
      </c>
      <c r="J73" s="99" t="s">
        <v>33</v>
      </c>
      <c r="K73" s="99" t="s">
        <v>921</v>
      </c>
      <c r="L73" s="84" t="s">
        <v>33</v>
      </c>
      <c r="M73" s="84" t="s">
        <v>33</v>
      </c>
      <c r="N73" s="82" t="s">
        <v>33</v>
      </c>
      <c r="O73" s="82" t="s">
        <v>33</v>
      </c>
      <c r="P73" s="99" t="s">
        <v>1508</v>
      </c>
      <c r="Q73" s="99" t="s">
        <v>1509</v>
      </c>
      <c r="R73" s="99" t="s">
        <v>1510</v>
      </c>
      <c r="S73" s="99" t="s">
        <v>33</v>
      </c>
      <c r="T73" s="99"/>
      <c r="U73" s="99"/>
      <c r="V73" s="99"/>
      <c r="W73" s="99"/>
      <c r="X73" s="99"/>
      <c r="Y73" s="99"/>
      <c r="Z73" s="99"/>
      <c r="AA73" s="99"/>
      <c r="AB73" s="99"/>
    </row>
    <row r="74" spans="1:28" ht="14.5" customHeight="1">
      <c r="A74" s="80">
        <v>46265</v>
      </c>
      <c r="B74" s="99" t="s">
        <v>30</v>
      </c>
      <c r="C74" s="84">
        <v>8105047843</v>
      </c>
      <c r="D74" s="55" t="s">
        <v>31</v>
      </c>
      <c r="E74" s="99" t="s">
        <v>1511</v>
      </c>
      <c r="F74" s="99" t="s">
        <v>33</v>
      </c>
      <c r="G74" s="60" t="s">
        <v>37</v>
      </c>
      <c r="H74" s="99"/>
      <c r="I74" s="99"/>
      <c r="J74" s="99"/>
      <c r="K74" s="99"/>
      <c r="L74" s="84" t="s">
        <v>33</v>
      </c>
      <c r="M74" s="84" t="s">
        <v>33</v>
      </c>
      <c r="N74" s="82" t="s">
        <v>33</v>
      </c>
      <c r="O74" s="82" t="s">
        <v>33</v>
      </c>
      <c r="P74" s="99"/>
      <c r="Q74" s="99"/>
      <c r="R74" s="99"/>
      <c r="S74" s="99"/>
      <c r="T74" s="99"/>
      <c r="U74" s="99"/>
      <c r="V74" s="99"/>
      <c r="W74" s="99"/>
      <c r="X74" s="99"/>
      <c r="Y74" s="99"/>
      <c r="Z74" s="99"/>
      <c r="AA74" s="99"/>
      <c r="AB74" s="99"/>
    </row>
    <row r="76" spans="1:28" ht="14.5" customHeight="1">
      <c r="B76" t="s">
        <v>1512</v>
      </c>
      <c r="G76" s="66" t="s">
        <v>1513</v>
      </c>
      <c r="I76" s="66" t="s">
        <v>270</v>
      </c>
      <c r="K76" s="66" t="s">
        <v>13</v>
      </c>
      <c r="R76" s="66" t="s">
        <v>271</v>
      </c>
      <c r="S76" s="66" t="s">
        <v>272</v>
      </c>
    </row>
    <row r="77" spans="1:28" ht="14.5" customHeight="1">
      <c r="G77" s="66" t="s">
        <v>1514</v>
      </c>
      <c r="I77" s="86">
        <f>23/45</f>
        <v>0.51111111111111107</v>
      </c>
      <c r="K77" s="86">
        <f>12/45</f>
        <v>0.26666666666666666</v>
      </c>
      <c r="R77" s="79">
        <v>31</v>
      </c>
      <c r="S77" s="79">
        <v>23</v>
      </c>
    </row>
  </sheetData>
  <autoFilter ref="A29:AB74" xr:uid="{00000000-0009-0000-0000-000007000000}"/>
  <mergeCells count="1">
    <mergeCell ref="A1:E1"/>
  </mergeCells>
  <hyperlinks>
    <hyperlink ref="D49" r:id="rId1" xr:uid="{00000000-0004-0000-0700-000000000000}"/>
    <hyperlink ref="Q65" r:id="rId2" display="https://www.linkedin.com/company/2777667/" xr:uid="{00000000-0004-0000-0700-000001000000}"/>
    <hyperlink ref="D74" r:id="rId3" xr:uid="{00000000-0004-0000-0700-000002000000}"/>
  </hyperlinks>
  <pageMargins left="0.7" right="0.7" top="0.75" bottom="0.75" header="0.3" footer="0.3"/>
  <pageSetup orientation="portrait"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filterMode="1"/>
  <dimension ref="A1:AB100"/>
  <sheetViews>
    <sheetView zoomScale="93" zoomScaleNormal="93" workbookViewId="0">
      <selection activeCell="D27" sqref="D27"/>
    </sheetView>
  </sheetViews>
  <sheetFormatPr defaultColWidth="8.7265625" defaultRowHeight="15" customHeight="1"/>
  <cols>
    <col min="1" max="1" width="10.81640625" style="90" bestFit="1" customWidth="1"/>
    <col min="2" max="2" width="19.453125" style="90" bestFit="1" customWidth="1"/>
    <col min="3" max="3" width="14.26953125" style="90" bestFit="1" customWidth="1"/>
    <col min="4" max="4" width="49.26953125" style="90" bestFit="1" customWidth="1"/>
    <col min="5" max="6" width="8.7265625" style="90" customWidth="1"/>
    <col min="7" max="7" width="20.81640625" style="90" bestFit="1" customWidth="1"/>
    <col min="8" max="8" width="3.81640625" style="90" bestFit="1" customWidth="1"/>
    <col min="9" max="11" width="8.7265625" style="90" customWidth="1"/>
    <col min="12" max="16384" width="8.7265625" style="90"/>
  </cols>
  <sheetData>
    <row r="1" spans="1:5" s="79" customFormat="1" ht="15" customHeight="1">
      <c r="A1" s="107" t="s">
        <v>1515</v>
      </c>
      <c r="B1" s="105"/>
      <c r="C1" s="105"/>
      <c r="D1" s="105"/>
      <c r="E1" s="106"/>
    </row>
    <row r="2" spans="1:5" s="79" customFormat="1" ht="15" customHeight="1">
      <c r="A2" s="103" t="s">
        <v>1</v>
      </c>
      <c r="B2" s="103">
        <v>2093</v>
      </c>
      <c r="C2" s="45">
        <v>2337</v>
      </c>
      <c r="D2" s="103">
        <v>2394</v>
      </c>
      <c r="E2" s="103" t="s">
        <v>2</v>
      </c>
    </row>
    <row r="3" spans="1:5" s="79" customFormat="1" ht="15" customHeight="1">
      <c r="A3" s="80">
        <v>46266</v>
      </c>
      <c r="B3" s="84">
        <v>2</v>
      </c>
      <c r="C3" s="84">
        <v>1</v>
      </c>
      <c r="D3" s="84"/>
      <c r="E3" s="84">
        <f t="shared" ref="E3:E23" si="0">SUM(B3+C3+D3)</f>
        <v>3</v>
      </c>
    </row>
    <row r="4" spans="1:5" s="79" customFormat="1" ht="15" customHeight="1">
      <c r="A4" s="80">
        <v>46267</v>
      </c>
      <c r="B4" s="84"/>
      <c r="C4" s="84">
        <v>1</v>
      </c>
      <c r="D4" s="84"/>
      <c r="E4" s="84">
        <f t="shared" si="0"/>
        <v>1</v>
      </c>
    </row>
    <row r="5" spans="1:5" s="79" customFormat="1" ht="15" customHeight="1">
      <c r="A5" s="80">
        <v>46268</v>
      </c>
      <c r="B5" s="84">
        <v>1</v>
      </c>
      <c r="C5" s="84">
        <v>1</v>
      </c>
      <c r="D5" s="84">
        <v>1</v>
      </c>
      <c r="E5" s="84">
        <f t="shared" si="0"/>
        <v>3</v>
      </c>
    </row>
    <row r="6" spans="1:5" s="79" customFormat="1" ht="15" customHeight="1">
      <c r="A6" s="80">
        <v>46269</v>
      </c>
      <c r="B6" s="84">
        <v>2</v>
      </c>
      <c r="C6" s="84">
        <v>1</v>
      </c>
      <c r="D6" s="84">
        <v>1</v>
      </c>
      <c r="E6" s="84">
        <f t="shared" si="0"/>
        <v>4</v>
      </c>
    </row>
    <row r="7" spans="1:5" s="79" customFormat="1" ht="15" customHeight="1">
      <c r="A7" s="80">
        <v>46272</v>
      </c>
      <c r="B7" s="84">
        <v>1</v>
      </c>
      <c r="C7" s="84">
        <v>1</v>
      </c>
      <c r="D7" s="84">
        <v>1</v>
      </c>
      <c r="E7" s="84">
        <f t="shared" si="0"/>
        <v>3</v>
      </c>
    </row>
    <row r="8" spans="1:5" s="79" customFormat="1" ht="15" customHeight="1">
      <c r="A8" s="80">
        <v>46273</v>
      </c>
      <c r="B8" s="84">
        <v>1</v>
      </c>
      <c r="C8" s="84"/>
      <c r="D8" s="84"/>
      <c r="E8" s="84">
        <f t="shared" si="0"/>
        <v>1</v>
      </c>
    </row>
    <row r="9" spans="1:5" s="79" customFormat="1" ht="15" customHeight="1">
      <c r="A9" s="80">
        <v>46274</v>
      </c>
      <c r="B9" s="84">
        <v>1</v>
      </c>
      <c r="C9" s="84">
        <v>2</v>
      </c>
      <c r="D9" s="84">
        <v>1</v>
      </c>
      <c r="E9" s="84">
        <f t="shared" si="0"/>
        <v>4</v>
      </c>
    </row>
    <row r="10" spans="1:5" s="79" customFormat="1" ht="15" customHeight="1">
      <c r="A10" s="80">
        <v>46275</v>
      </c>
      <c r="B10" s="84">
        <v>2</v>
      </c>
      <c r="C10" s="84"/>
      <c r="D10" s="84"/>
      <c r="E10" s="84">
        <f t="shared" si="0"/>
        <v>2</v>
      </c>
    </row>
    <row r="11" spans="1:5" s="79" customFormat="1" ht="15" customHeight="1">
      <c r="A11" s="80">
        <v>46276</v>
      </c>
      <c r="B11" s="84">
        <v>1</v>
      </c>
      <c r="C11" s="84">
        <v>1</v>
      </c>
      <c r="D11" s="84">
        <v>1</v>
      </c>
      <c r="E11" s="84">
        <f t="shared" si="0"/>
        <v>3</v>
      </c>
    </row>
    <row r="12" spans="1:5" s="79" customFormat="1" ht="15" customHeight="1">
      <c r="A12" s="80">
        <v>46280</v>
      </c>
      <c r="B12" s="84"/>
      <c r="C12" s="84">
        <v>1</v>
      </c>
      <c r="D12" s="84">
        <v>1</v>
      </c>
      <c r="E12" s="84">
        <f t="shared" si="0"/>
        <v>2</v>
      </c>
    </row>
    <row r="13" spans="1:5" s="79" customFormat="1" ht="15" customHeight="1">
      <c r="A13" s="80">
        <v>46281</v>
      </c>
      <c r="B13" s="84">
        <v>3</v>
      </c>
      <c r="C13" s="84">
        <v>1</v>
      </c>
      <c r="D13" s="84"/>
      <c r="E13" s="84">
        <f t="shared" si="0"/>
        <v>4</v>
      </c>
    </row>
    <row r="14" spans="1:5" s="79" customFormat="1" ht="15" customHeight="1">
      <c r="A14" s="80">
        <v>46282</v>
      </c>
      <c r="B14" s="84">
        <v>2</v>
      </c>
      <c r="C14" s="84">
        <v>1</v>
      </c>
      <c r="D14" s="84">
        <v>1</v>
      </c>
      <c r="E14" s="84">
        <f t="shared" si="0"/>
        <v>4</v>
      </c>
    </row>
    <row r="15" spans="1:5" s="79" customFormat="1" ht="15" customHeight="1">
      <c r="A15" s="80">
        <v>46283</v>
      </c>
      <c r="B15" s="84">
        <v>2</v>
      </c>
      <c r="C15" s="84">
        <v>1</v>
      </c>
      <c r="D15" s="84">
        <v>1</v>
      </c>
      <c r="E15" s="84">
        <f t="shared" si="0"/>
        <v>4</v>
      </c>
    </row>
    <row r="16" spans="1:5" s="79" customFormat="1" ht="15" customHeight="1">
      <c r="A16" s="80">
        <v>46286</v>
      </c>
      <c r="B16" s="84">
        <v>1</v>
      </c>
      <c r="C16" s="84">
        <v>2</v>
      </c>
      <c r="D16" s="84">
        <v>2</v>
      </c>
      <c r="E16" s="84">
        <f t="shared" si="0"/>
        <v>5</v>
      </c>
    </row>
    <row r="17" spans="1:28" s="79" customFormat="1" ht="15" customHeight="1">
      <c r="A17" s="80">
        <v>46287</v>
      </c>
      <c r="B17" s="84">
        <v>1</v>
      </c>
      <c r="C17" s="84">
        <v>2</v>
      </c>
      <c r="D17" s="84"/>
      <c r="E17" s="84">
        <f t="shared" si="0"/>
        <v>3</v>
      </c>
    </row>
    <row r="18" spans="1:28" s="79" customFormat="1" ht="15" customHeight="1">
      <c r="A18" s="80">
        <v>46288</v>
      </c>
      <c r="B18" s="84">
        <v>2</v>
      </c>
      <c r="C18" s="84">
        <v>1</v>
      </c>
      <c r="D18" s="84">
        <v>1</v>
      </c>
      <c r="E18" s="84">
        <f t="shared" si="0"/>
        <v>4</v>
      </c>
    </row>
    <row r="19" spans="1:28" s="79" customFormat="1" ht="15" customHeight="1">
      <c r="A19" s="80">
        <v>46289</v>
      </c>
      <c r="B19" s="84">
        <v>1</v>
      </c>
      <c r="C19" s="84">
        <v>2</v>
      </c>
      <c r="D19" s="84">
        <v>1</v>
      </c>
      <c r="E19" s="84">
        <f t="shared" si="0"/>
        <v>4</v>
      </c>
    </row>
    <row r="20" spans="1:28" s="79" customFormat="1" ht="15" customHeight="1">
      <c r="A20" s="80">
        <v>46290</v>
      </c>
      <c r="B20" s="84">
        <v>1</v>
      </c>
      <c r="C20" s="84">
        <v>1</v>
      </c>
      <c r="D20" s="84">
        <v>1</v>
      </c>
      <c r="E20" s="84">
        <f t="shared" si="0"/>
        <v>3</v>
      </c>
    </row>
    <row r="21" spans="1:28" s="79" customFormat="1" ht="15" customHeight="1">
      <c r="A21" s="80">
        <v>46293</v>
      </c>
      <c r="B21" s="84">
        <v>2</v>
      </c>
      <c r="C21" s="84">
        <v>1</v>
      </c>
      <c r="D21" s="84">
        <v>1</v>
      </c>
      <c r="E21" s="84">
        <f t="shared" si="0"/>
        <v>4</v>
      </c>
    </row>
    <row r="22" spans="1:28" s="79" customFormat="1" ht="15" customHeight="1">
      <c r="A22" s="80">
        <v>46294</v>
      </c>
      <c r="B22" s="84">
        <v>2</v>
      </c>
      <c r="C22" s="84"/>
      <c r="D22" s="84">
        <v>1</v>
      </c>
      <c r="E22" s="84">
        <f t="shared" si="0"/>
        <v>3</v>
      </c>
    </row>
    <row r="23" spans="1:28" s="79" customFormat="1" ht="15" customHeight="1">
      <c r="A23" s="80">
        <v>46295</v>
      </c>
      <c r="B23" s="84">
        <v>1</v>
      </c>
      <c r="C23" s="84">
        <v>1</v>
      </c>
      <c r="D23" s="84">
        <v>1</v>
      </c>
      <c r="E23" s="84">
        <f t="shared" si="0"/>
        <v>3</v>
      </c>
    </row>
    <row r="24" spans="1:28" s="79" customFormat="1" ht="15" customHeight="1">
      <c r="B24" s="84"/>
      <c r="C24" s="84"/>
      <c r="D24" s="84"/>
      <c r="E24" s="84"/>
    </row>
    <row r="25" spans="1:28" s="79" customFormat="1" ht="15" customHeight="1">
      <c r="D25" s="84" t="s">
        <v>430</v>
      </c>
      <c r="E25" s="84">
        <f>SUM(E3:E23)</f>
        <v>67</v>
      </c>
    </row>
    <row r="26" spans="1:28" s="79" customFormat="1" ht="15" customHeight="1"/>
    <row r="27" spans="1:28" s="79" customFormat="1" ht="15" customHeight="1"/>
    <row r="28" spans="1:28" s="79" customFormat="1" ht="14" customHeight="1"/>
    <row r="29" spans="1:28" s="79" customFormat="1" ht="192" customHeight="1">
      <c r="A29" s="103" t="s">
        <v>1</v>
      </c>
      <c r="B29" s="103" t="s">
        <v>5</v>
      </c>
      <c r="C29" s="45" t="s">
        <v>6</v>
      </c>
      <c r="D29" s="103" t="s">
        <v>7</v>
      </c>
      <c r="E29" s="103" t="s">
        <v>8</v>
      </c>
      <c r="F29" s="46" t="s">
        <v>275</v>
      </c>
      <c r="G29" s="46" t="s">
        <v>10</v>
      </c>
      <c r="H29" s="47" t="s">
        <v>11</v>
      </c>
      <c r="I29" s="103" t="s">
        <v>12</v>
      </c>
      <c r="J29" s="46" t="s">
        <v>13</v>
      </c>
      <c r="K29" s="103" t="s">
        <v>12</v>
      </c>
      <c r="L29" s="46" t="s">
        <v>15</v>
      </c>
      <c r="M29" s="46" t="s">
        <v>16</v>
      </c>
      <c r="N29" s="46" t="s">
        <v>17</v>
      </c>
      <c r="O29" s="46" t="s">
        <v>18</v>
      </c>
      <c r="P29" s="103" t="s">
        <v>19</v>
      </c>
      <c r="Q29" s="103" t="s">
        <v>20</v>
      </c>
      <c r="R29" s="103" t="s">
        <v>21</v>
      </c>
      <c r="S29" s="46" t="s">
        <v>22</v>
      </c>
      <c r="T29" s="46" t="s">
        <v>23</v>
      </c>
      <c r="U29" s="46" t="s">
        <v>24</v>
      </c>
      <c r="V29" s="46" t="s">
        <v>982</v>
      </c>
      <c r="W29" s="46" t="s">
        <v>25</v>
      </c>
      <c r="X29" s="46" t="s">
        <v>26</v>
      </c>
      <c r="Y29" s="46" t="s">
        <v>27</v>
      </c>
      <c r="Z29" s="46" t="s">
        <v>28</v>
      </c>
      <c r="AA29" s="46" t="s">
        <v>29</v>
      </c>
      <c r="AB29" s="46" t="s">
        <v>1172</v>
      </c>
    </row>
    <row r="30" spans="1:28" ht="15" hidden="1" customHeight="1">
      <c r="A30" s="80">
        <v>46266</v>
      </c>
      <c r="B30" s="88" t="s">
        <v>1516</v>
      </c>
      <c r="C30" s="88">
        <v>9394487489</v>
      </c>
      <c r="D30" s="88" t="s">
        <v>1517</v>
      </c>
      <c r="E30" s="88" t="s">
        <v>48</v>
      </c>
      <c r="F30" s="88" t="s">
        <v>33</v>
      </c>
      <c r="G30" s="93" t="s">
        <v>37</v>
      </c>
      <c r="H30" s="88" t="s">
        <v>33</v>
      </c>
      <c r="I30" s="88" t="s">
        <v>759</v>
      </c>
      <c r="J30" s="88" t="s">
        <v>33</v>
      </c>
      <c r="K30" s="88" t="s">
        <v>702</v>
      </c>
      <c r="L30" s="88" t="s">
        <v>33</v>
      </c>
      <c r="M30" s="88" t="s">
        <v>33</v>
      </c>
      <c r="N30" s="89" t="s">
        <v>33</v>
      </c>
      <c r="O30" s="89" t="s">
        <v>33</v>
      </c>
      <c r="P30" s="88" t="s">
        <v>772</v>
      </c>
      <c r="Q30" s="88" t="s">
        <v>1518</v>
      </c>
      <c r="R30" s="88" t="s">
        <v>1519</v>
      </c>
      <c r="S30" s="88" t="s">
        <v>33</v>
      </c>
      <c r="T30" s="88"/>
      <c r="U30" s="88"/>
      <c r="V30" s="88"/>
      <c r="W30" s="88"/>
      <c r="X30" s="88"/>
      <c r="Y30" s="88"/>
      <c r="Z30" s="88"/>
      <c r="AA30" s="88"/>
      <c r="AB30" s="88"/>
    </row>
    <row r="31" spans="1:28" ht="15" hidden="1" customHeight="1">
      <c r="A31" s="80">
        <v>46266</v>
      </c>
      <c r="B31" s="88" t="s">
        <v>1520</v>
      </c>
      <c r="C31" s="88">
        <v>6379364038</v>
      </c>
      <c r="D31" s="88" t="s">
        <v>1521</v>
      </c>
      <c r="E31" s="88" t="s">
        <v>48</v>
      </c>
      <c r="F31" s="88" t="s">
        <v>33</v>
      </c>
      <c r="G31" s="88" t="s">
        <v>37</v>
      </c>
      <c r="H31" s="88" t="s">
        <v>33</v>
      </c>
      <c r="I31" s="88" t="s">
        <v>1522</v>
      </c>
      <c r="J31" s="88" t="s">
        <v>33</v>
      </c>
      <c r="K31" s="88" t="s">
        <v>921</v>
      </c>
      <c r="L31" s="88" t="s">
        <v>33</v>
      </c>
      <c r="M31" s="88" t="s">
        <v>33</v>
      </c>
      <c r="N31" s="89" t="s">
        <v>33</v>
      </c>
      <c r="O31" s="89" t="s">
        <v>33</v>
      </c>
      <c r="P31" s="88" t="s">
        <v>1523</v>
      </c>
      <c r="Q31" s="88" t="s">
        <v>1524</v>
      </c>
      <c r="R31" s="88"/>
      <c r="S31" s="88"/>
      <c r="T31" s="88"/>
      <c r="U31" s="88"/>
      <c r="V31" s="88"/>
      <c r="W31" s="88"/>
      <c r="X31" s="88"/>
      <c r="Y31" s="88"/>
      <c r="Z31" s="88"/>
      <c r="AA31" s="88"/>
      <c r="AB31" s="88"/>
    </row>
    <row r="32" spans="1:28" ht="15" customHeight="1">
      <c r="A32" s="80">
        <v>46266</v>
      </c>
      <c r="B32" s="88" t="s">
        <v>1525</v>
      </c>
      <c r="C32" s="88">
        <v>9840489892</v>
      </c>
      <c r="D32" s="88" t="s">
        <v>925</v>
      </c>
      <c r="E32" s="88" t="s">
        <v>43</v>
      </c>
      <c r="F32" s="88" t="s">
        <v>62</v>
      </c>
      <c r="G32" s="88" t="s">
        <v>33</v>
      </c>
      <c r="H32" s="88"/>
      <c r="I32" s="88"/>
      <c r="J32" s="88"/>
      <c r="K32" s="88"/>
      <c r="L32" s="88" t="s">
        <v>33</v>
      </c>
      <c r="M32" s="88" t="s">
        <v>33</v>
      </c>
      <c r="N32" s="89" t="s">
        <v>33</v>
      </c>
      <c r="O32" s="89" t="s">
        <v>33</v>
      </c>
      <c r="P32" s="88" t="s">
        <v>926</v>
      </c>
      <c r="Q32" s="88" t="s">
        <v>1526</v>
      </c>
      <c r="R32" s="88" t="s">
        <v>928</v>
      </c>
      <c r="S32" s="89" t="s">
        <v>33</v>
      </c>
      <c r="T32" s="88"/>
      <c r="U32" s="88"/>
      <c r="V32" s="88"/>
      <c r="W32" s="88"/>
      <c r="X32" s="88"/>
      <c r="Y32" s="88"/>
      <c r="Z32" s="88"/>
      <c r="AA32" s="88"/>
      <c r="AB32" s="88"/>
    </row>
    <row r="33" spans="1:28" ht="15" hidden="1" customHeight="1">
      <c r="A33" s="80">
        <v>46267</v>
      </c>
      <c r="B33" s="88" t="s">
        <v>1527</v>
      </c>
      <c r="C33" s="88">
        <v>9791099552</v>
      </c>
      <c r="D33" s="88" t="s">
        <v>1528</v>
      </c>
      <c r="E33" s="88" t="s">
        <v>25</v>
      </c>
      <c r="F33" s="88" t="s">
        <v>62</v>
      </c>
      <c r="G33" s="88" t="s">
        <v>37</v>
      </c>
      <c r="H33" s="88"/>
      <c r="I33" s="88"/>
      <c r="J33" s="88"/>
      <c r="K33" s="88"/>
      <c r="L33" s="88" t="s">
        <v>33</v>
      </c>
      <c r="M33" s="88" t="s">
        <v>33</v>
      </c>
      <c r="N33" s="89" t="s">
        <v>33</v>
      </c>
      <c r="O33" s="89" t="s">
        <v>33</v>
      </c>
      <c r="P33" s="88" t="s">
        <v>1489</v>
      </c>
      <c r="Q33" s="88" t="s">
        <v>1490</v>
      </c>
      <c r="R33" s="88" t="s">
        <v>1491</v>
      </c>
      <c r="S33" s="89" t="s">
        <v>33</v>
      </c>
      <c r="T33" s="88"/>
      <c r="U33" s="88"/>
      <c r="V33" s="88"/>
      <c r="W33" s="88"/>
      <c r="X33" s="88"/>
      <c r="Y33" s="88"/>
      <c r="Z33" s="88"/>
      <c r="AA33" s="88"/>
      <c r="AB33" s="88"/>
    </row>
    <row r="34" spans="1:28" ht="15" customHeight="1">
      <c r="A34" s="80">
        <v>46268</v>
      </c>
      <c r="B34" s="88" t="s">
        <v>1529</v>
      </c>
      <c r="C34" s="88">
        <v>7094732727</v>
      </c>
      <c r="D34" s="88" t="s">
        <v>1530</v>
      </c>
      <c r="E34" s="88" t="s">
        <v>48</v>
      </c>
      <c r="F34" s="88" t="s">
        <v>33</v>
      </c>
      <c r="G34" s="88" t="s">
        <v>33</v>
      </c>
      <c r="H34" s="88" t="s">
        <v>33</v>
      </c>
      <c r="I34" s="88" t="s">
        <v>1531</v>
      </c>
      <c r="J34" s="88" t="s">
        <v>33</v>
      </c>
      <c r="K34" s="88" t="s">
        <v>1531</v>
      </c>
      <c r="L34" s="88" t="s">
        <v>33</v>
      </c>
      <c r="M34" s="88" t="s">
        <v>33</v>
      </c>
      <c r="N34" s="89" t="s">
        <v>33</v>
      </c>
      <c r="O34" s="89" t="s">
        <v>33</v>
      </c>
      <c r="P34" s="88" t="s">
        <v>1532</v>
      </c>
      <c r="Q34" s="88" t="s">
        <v>228</v>
      </c>
      <c r="R34" s="88" t="s">
        <v>1533</v>
      </c>
      <c r="S34" s="89" t="s">
        <v>33</v>
      </c>
      <c r="T34" s="88" t="s">
        <v>33</v>
      </c>
      <c r="U34" s="88"/>
      <c r="V34" s="88"/>
      <c r="W34" s="88"/>
      <c r="X34" s="88"/>
      <c r="Y34" s="88"/>
      <c r="Z34" s="88"/>
      <c r="AA34" s="88"/>
      <c r="AB34" s="88"/>
    </row>
    <row r="35" spans="1:28" ht="15" hidden="1" customHeight="1">
      <c r="A35" s="80">
        <v>46268</v>
      </c>
      <c r="B35" s="88" t="s">
        <v>1534</v>
      </c>
      <c r="C35" s="88">
        <v>8883069431</v>
      </c>
      <c r="D35" s="88" t="s">
        <v>1535</v>
      </c>
      <c r="E35" s="88" t="s">
        <v>25</v>
      </c>
      <c r="F35" s="88" t="s">
        <v>33</v>
      </c>
      <c r="G35" s="88" t="s">
        <v>37</v>
      </c>
      <c r="H35" s="88" t="s">
        <v>33</v>
      </c>
      <c r="I35" s="88" t="s">
        <v>482</v>
      </c>
      <c r="J35" s="88"/>
      <c r="K35" s="88"/>
      <c r="L35" s="88" t="s">
        <v>33</v>
      </c>
      <c r="M35" s="88" t="s">
        <v>33</v>
      </c>
      <c r="N35" s="89" t="s">
        <v>33</v>
      </c>
      <c r="O35" s="89" t="s">
        <v>33</v>
      </c>
      <c r="P35" s="88" t="s">
        <v>1536</v>
      </c>
      <c r="Q35" s="88" t="s">
        <v>1537</v>
      </c>
      <c r="R35" s="88" t="s">
        <v>1538</v>
      </c>
      <c r="S35" s="88" t="s">
        <v>33</v>
      </c>
      <c r="T35" s="88"/>
      <c r="U35" s="88"/>
      <c r="V35" s="88"/>
      <c r="W35" s="88"/>
      <c r="X35" s="88"/>
      <c r="Y35" s="88"/>
      <c r="Z35" s="88"/>
      <c r="AA35" s="88"/>
      <c r="AB35" s="88"/>
    </row>
    <row r="36" spans="1:28" ht="15" hidden="1" customHeight="1">
      <c r="A36" s="80">
        <v>46268</v>
      </c>
      <c r="B36" s="88" t="s">
        <v>1539</v>
      </c>
      <c r="C36" s="88">
        <v>6379108015</v>
      </c>
      <c r="D36" s="88" t="s">
        <v>1540</v>
      </c>
      <c r="E36" s="88" t="s">
        <v>48</v>
      </c>
      <c r="F36" s="88" t="s">
        <v>33</v>
      </c>
      <c r="G36" s="88" t="s">
        <v>33</v>
      </c>
      <c r="H36" s="88"/>
      <c r="I36" s="88"/>
      <c r="J36" s="88"/>
      <c r="K36" s="88"/>
      <c r="L36" s="88" t="s">
        <v>33</v>
      </c>
      <c r="M36" s="88" t="s">
        <v>33</v>
      </c>
      <c r="N36" s="89" t="s">
        <v>33</v>
      </c>
      <c r="O36" s="89" t="s">
        <v>33</v>
      </c>
      <c r="P36" s="88"/>
      <c r="Q36" s="88"/>
      <c r="R36" s="88"/>
      <c r="S36" s="88"/>
      <c r="T36" s="88"/>
      <c r="U36" s="88"/>
      <c r="V36" s="88"/>
      <c r="W36" s="88"/>
      <c r="X36" s="88"/>
      <c r="Y36" s="88"/>
      <c r="Z36" s="88"/>
      <c r="AA36" s="88"/>
      <c r="AB36" s="88"/>
    </row>
    <row r="37" spans="1:28" ht="15" customHeight="1">
      <c r="A37" s="80">
        <v>46269</v>
      </c>
      <c r="B37" s="88" t="s">
        <v>1541</v>
      </c>
      <c r="C37" s="88">
        <v>8870878850</v>
      </c>
      <c r="D37" s="88" t="s">
        <v>1542</v>
      </c>
      <c r="E37" s="88" t="s">
        <v>48</v>
      </c>
      <c r="F37" s="88" t="s">
        <v>33</v>
      </c>
      <c r="G37" s="88" t="s">
        <v>33</v>
      </c>
      <c r="H37" s="88" t="s">
        <v>33</v>
      </c>
      <c r="I37" s="88" t="s">
        <v>482</v>
      </c>
      <c r="J37" s="88"/>
      <c r="K37" s="88"/>
      <c r="L37" s="88" t="s">
        <v>33</v>
      </c>
      <c r="M37" s="88" t="s">
        <v>33</v>
      </c>
      <c r="N37" s="89" t="s">
        <v>33</v>
      </c>
      <c r="O37" s="89" t="s">
        <v>33</v>
      </c>
      <c r="P37" s="88" t="s">
        <v>92</v>
      </c>
      <c r="Q37" s="88" t="s">
        <v>1543</v>
      </c>
      <c r="R37" s="88" t="s">
        <v>1544</v>
      </c>
      <c r="S37" s="88" t="s">
        <v>33</v>
      </c>
      <c r="T37" s="88" t="s">
        <v>33</v>
      </c>
      <c r="U37" s="88"/>
      <c r="V37" s="88"/>
      <c r="W37" s="88"/>
      <c r="X37" s="88"/>
      <c r="Y37" s="88"/>
      <c r="Z37" s="88" t="s">
        <v>33</v>
      </c>
      <c r="AA37" s="88"/>
      <c r="AB37" s="88"/>
    </row>
    <row r="38" spans="1:28" ht="15" hidden="1" customHeight="1">
      <c r="A38" s="80">
        <v>46269</v>
      </c>
      <c r="B38" s="88" t="s">
        <v>1545</v>
      </c>
      <c r="C38" s="88">
        <v>8299161176</v>
      </c>
      <c r="D38" s="88" t="s">
        <v>1546</v>
      </c>
      <c r="E38" s="88" t="s">
        <v>246</v>
      </c>
      <c r="F38" s="88" t="s">
        <v>33</v>
      </c>
      <c r="G38" s="88" t="s">
        <v>37</v>
      </c>
      <c r="H38" s="88" t="s">
        <v>33</v>
      </c>
      <c r="I38" s="88" t="s">
        <v>1547</v>
      </c>
      <c r="J38" s="88" t="s">
        <v>33</v>
      </c>
      <c r="K38" s="88" t="s">
        <v>1547</v>
      </c>
      <c r="L38" s="88" t="s">
        <v>33</v>
      </c>
      <c r="M38" s="88" t="s">
        <v>33</v>
      </c>
      <c r="N38" s="89" t="s">
        <v>33</v>
      </c>
      <c r="O38" s="89" t="s">
        <v>33</v>
      </c>
      <c r="P38" s="88" t="s">
        <v>772</v>
      </c>
      <c r="Q38" s="88" t="s">
        <v>1548</v>
      </c>
      <c r="R38" s="88"/>
      <c r="S38" s="88"/>
      <c r="T38" s="88"/>
      <c r="U38" s="88"/>
      <c r="V38" s="88"/>
      <c r="W38" s="88"/>
      <c r="X38" s="88"/>
      <c r="Y38" s="88"/>
      <c r="Z38" s="88"/>
      <c r="AA38" s="88"/>
      <c r="AB38" s="88"/>
    </row>
    <row r="39" spans="1:28" ht="15" hidden="1" customHeight="1">
      <c r="A39" s="80">
        <v>46269</v>
      </c>
      <c r="B39" s="88" t="s">
        <v>1204</v>
      </c>
      <c r="C39" s="88">
        <v>9952926115</v>
      </c>
      <c r="D39" s="88" t="s">
        <v>1205</v>
      </c>
      <c r="E39" s="88" t="s">
        <v>86</v>
      </c>
      <c r="F39" s="88" t="s">
        <v>62</v>
      </c>
      <c r="G39" s="88" t="s">
        <v>37</v>
      </c>
      <c r="H39" s="88" t="s">
        <v>33</v>
      </c>
      <c r="I39" s="88" t="s">
        <v>482</v>
      </c>
      <c r="J39" s="88"/>
      <c r="K39" s="88"/>
      <c r="L39" s="88" t="s">
        <v>33</v>
      </c>
      <c r="M39" s="88" t="s">
        <v>33</v>
      </c>
      <c r="N39" s="89" t="s">
        <v>33</v>
      </c>
      <c r="O39" s="89" t="s">
        <v>33</v>
      </c>
      <c r="P39" s="88" t="s">
        <v>1206</v>
      </c>
      <c r="Q39" s="88" t="s">
        <v>1207</v>
      </c>
      <c r="R39" s="88" t="s">
        <v>1208</v>
      </c>
      <c r="S39" s="89" t="s">
        <v>33</v>
      </c>
      <c r="T39" s="88"/>
      <c r="U39" s="88"/>
      <c r="V39" s="88"/>
      <c r="W39" s="88"/>
      <c r="X39" s="88"/>
      <c r="Y39" s="88"/>
      <c r="Z39" s="88"/>
      <c r="AA39" s="88"/>
      <c r="AB39" s="88"/>
    </row>
    <row r="40" spans="1:28" ht="15" hidden="1" customHeight="1">
      <c r="A40" s="80">
        <v>46269</v>
      </c>
      <c r="B40" s="88" t="s">
        <v>1516</v>
      </c>
      <c r="C40" s="88">
        <v>9394487489</v>
      </c>
      <c r="D40" s="88" t="s">
        <v>1517</v>
      </c>
      <c r="E40" s="88" t="s">
        <v>48</v>
      </c>
      <c r="F40" s="88" t="s">
        <v>62</v>
      </c>
      <c r="G40" s="88" t="s">
        <v>37</v>
      </c>
      <c r="H40" s="88" t="s">
        <v>33</v>
      </c>
      <c r="I40" s="88" t="s">
        <v>759</v>
      </c>
      <c r="J40" s="88" t="s">
        <v>33</v>
      </c>
      <c r="K40" s="88" t="s">
        <v>702</v>
      </c>
      <c r="L40" s="88" t="s">
        <v>33</v>
      </c>
      <c r="M40" s="88" t="s">
        <v>33</v>
      </c>
      <c r="N40" s="89" t="s">
        <v>33</v>
      </c>
      <c r="O40" s="89" t="s">
        <v>33</v>
      </c>
      <c r="P40" s="88" t="s">
        <v>772</v>
      </c>
      <c r="Q40" s="88" t="s">
        <v>1518</v>
      </c>
      <c r="R40" s="88" t="s">
        <v>1519</v>
      </c>
      <c r="S40" s="88" t="s">
        <v>33</v>
      </c>
      <c r="T40" s="88"/>
      <c r="U40" s="88"/>
      <c r="V40" s="88"/>
      <c r="W40" s="88"/>
      <c r="X40" s="88"/>
      <c r="Y40" s="88"/>
      <c r="Z40" s="88"/>
      <c r="AA40" s="88"/>
      <c r="AB40" s="88"/>
    </row>
    <row r="41" spans="1:28" ht="15" customHeight="1">
      <c r="A41" s="80">
        <v>46272</v>
      </c>
      <c r="B41" s="88" t="s">
        <v>1549</v>
      </c>
      <c r="C41" s="88">
        <v>7604914980</v>
      </c>
      <c r="D41" s="88" t="s">
        <v>1550</v>
      </c>
      <c r="E41" s="88" t="s">
        <v>1551</v>
      </c>
      <c r="F41" s="88" t="s">
        <v>33</v>
      </c>
      <c r="G41" s="88" t="s">
        <v>33</v>
      </c>
      <c r="H41" s="88" t="s">
        <v>33</v>
      </c>
      <c r="I41" s="88" t="s">
        <v>67</v>
      </c>
      <c r="J41" s="88" t="s">
        <v>33</v>
      </c>
      <c r="K41" s="88" t="s">
        <v>304</v>
      </c>
      <c r="L41" s="88" t="s">
        <v>33</v>
      </c>
      <c r="M41" s="88" t="s">
        <v>33</v>
      </c>
      <c r="N41" s="89" t="s">
        <v>33</v>
      </c>
      <c r="O41" s="89" t="s">
        <v>33</v>
      </c>
      <c r="P41" s="88" t="s">
        <v>1552</v>
      </c>
      <c r="Q41" s="88" t="s">
        <v>1553</v>
      </c>
      <c r="R41" s="88" t="s">
        <v>1554</v>
      </c>
      <c r="S41" s="89" t="s">
        <v>33</v>
      </c>
      <c r="T41" s="88"/>
      <c r="U41" s="88"/>
      <c r="V41" s="88"/>
      <c r="W41" s="88"/>
      <c r="X41" s="88"/>
      <c r="Y41" s="88" t="s">
        <v>33</v>
      </c>
      <c r="Z41" s="88"/>
      <c r="AA41" s="88"/>
      <c r="AB41" s="88"/>
    </row>
    <row r="42" spans="1:28" ht="15" hidden="1" customHeight="1">
      <c r="A42" s="80">
        <v>46272</v>
      </c>
      <c r="B42" s="88" t="s">
        <v>806</v>
      </c>
      <c r="C42" s="88">
        <v>7680802042</v>
      </c>
      <c r="D42" s="88" t="s">
        <v>807</v>
      </c>
      <c r="E42" s="88" t="s">
        <v>1025</v>
      </c>
      <c r="F42" s="88" t="s">
        <v>62</v>
      </c>
      <c r="G42" s="88" t="s">
        <v>37</v>
      </c>
      <c r="H42" s="88" t="s">
        <v>33</v>
      </c>
      <c r="I42" s="88" t="s">
        <v>808</v>
      </c>
      <c r="J42" s="88"/>
      <c r="K42" s="88"/>
      <c r="L42" s="88" t="s">
        <v>33</v>
      </c>
      <c r="M42" s="88" t="s">
        <v>33</v>
      </c>
      <c r="N42" s="89" t="s">
        <v>33</v>
      </c>
      <c r="O42" s="89" t="s">
        <v>33</v>
      </c>
      <c r="P42" s="88" t="s">
        <v>697</v>
      </c>
      <c r="Q42" s="88" t="s">
        <v>809</v>
      </c>
      <c r="R42" s="88" t="s">
        <v>810</v>
      </c>
      <c r="S42" s="89" t="s">
        <v>33</v>
      </c>
      <c r="T42" s="88" t="s">
        <v>33</v>
      </c>
      <c r="U42" s="88"/>
      <c r="V42" s="88"/>
      <c r="W42" s="88"/>
      <c r="X42" s="88"/>
      <c r="Y42" s="88"/>
      <c r="Z42" s="88" t="s">
        <v>33</v>
      </c>
      <c r="AA42" s="88"/>
      <c r="AB42" s="88"/>
    </row>
    <row r="43" spans="1:28" ht="15" hidden="1" customHeight="1">
      <c r="A43" s="80">
        <v>46272</v>
      </c>
      <c r="B43" s="88" t="s">
        <v>1520</v>
      </c>
      <c r="C43" s="88">
        <v>6379364038</v>
      </c>
      <c r="D43" s="88" t="s">
        <v>1521</v>
      </c>
      <c r="E43" s="88" t="s">
        <v>1551</v>
      </c>
      <c r="F43" s="88" t="s">
        <v>62</v>
      </c>
      <c r="G43" s="88" t="s">
        <v>37</v>
      </c>
      <c r="H43" s="88" t="s">
        <v>33</v>
      </c>
      <c r="I43" s="88" t="s">
        <v>1555</v>
      </c>
      <c r="J43" s="88" t="s">
        <v>33</v>
      </c>
      <c r="K43" s="88" t="s">
        <v>921</v>
      </c>
      <c r="L43" s="88" t="s">
        <v>33</v>
      </c>
      <c r="M43" s="88" t="s">
        <v>33</v>
      </c>
      <c r="N43" s="89" t="s">
        <v>33</v>
      </c>
      <c r="O43" s="89" t="s">
        <v>33</v>
      </c>
      <c r="P43" s="88" t="s">
        <v>1523</v>
      </c>
      <c r="Q43" s="88" t="s">
        <v>1524</v>
      </c>
      <c r="R43" s="88" t="s">
        <v>1556</v>
      </c>
      <c r="S43" s="88" t="s">
        <v>33</v>
      </c>
      <c r="T43" s="88" t="s">
        <v>33</v>
      </c>
      <c r="U43" s="88"/>
      <c r="V43" s="88"/>
      <c r="W43" s="88"/>
      <c r="X43" s="88"/>
      <c r="Y43" s="88" t="s">
        <v>33</v>
      </c>
      <c r="Z43" s="88"/>
      <c r="AA43" s="88"/>
      <c r="AB43" s="88"/>
    </row>
    <row r="44" spans="1:28" ht="15" hidden="1" customHeight="1">
      <c r="A44" s="80">
        <v>46273</v>
      </c>
      <c r="B44" s="88" t="s">
        <v>1557</v>
      </c>
      <c r="C44" s="88">
        <v>8883069431</v>
      </c>
      <c r="D44" s="88" t="s">
        <v>1535</v>
      </c>
      <c r="E44" s="88" t="s">
        <v>25</v>
      </c>
      <c r="F44" s="88" t="s">
        <v>62</v>
      </c>
      <c r="G44" s="88" t="s">
        <v>37</v>
      </c>
      <c r="H44" s="88" t="s">
        <v>33</v>
      </c>
      <c r="I44" s="88" t="s">
        <v>482</v>
      </c>
      <c r="J44" s="88">
        <v>0</v>
      </c>
      <c r="K44" s="88"/>
      <c r="L44" s="88" t="s">
        <v>33</v>
      </c>
      <c r="M44" s="88" t="s">
        <v>33</v>
      </c>
      <c r="N44" s="89" t="s">
        <v>33</v>
      </c>
      <c r="O44" s="89" t="s">
        <v>33</v>
      </c>
      <c r="P44" s="88" t="s">
        <v>1536</v>
      </c>
      <c r="Q44" s="88" t="s">
        <v>1537</v>
      </c>
      <c r="R44" s="88" t="s">
        <v>1538</v>
      </c>
      <c r="S44" s="89" t="s">
        <v>33</v>
      </c>
      <c r="T44" s="88"/>
      <c r="U44" s="88"/>
      <c r="V44" s="88"/>
      <c r="W44" s="88"/>
      <c r="X44" s="88"/>
      <c r="Y44" s="88"/>
      <c r="Z44" s="88"/>
      <c r="AA44" s="88"/>
      <c r="AB44" s="88"/>
    </row>
    <row r="45" spans="1:28" ht="15" hidden="1" customHeight="1">
      <c r="A45" s="80">
        <v>46274</v>
      </c>
      <c r="B45" s="84" t="s">
        <v>1558</v>
      </c>
      <c r="C45" s="88">
        <v>9952011182</v>
      </c>
      <c r="D45" s="88" t="s">
        <v>1559</v>
      </c>
      <c r="E45" s="88" t="s">
        <v>25</v>
      </c>
      <c r="F45" s="84" t="s">
        <v>33</v>
      </c>
      <c r="G45" s="84" t="s">
        <v>33</v>
      </c>
      <c r="H45" s="84" t="s">
        <v>33</v>
      </c>
      <c r="I45" s="88" t="s">
        <v>67</v>
      </c>
      <c r="J45" s="88"/>
      <c r="K45" s="88"/>
      <c r="L45" s="88" t="s">
        <v>33</v>
      </c>
      <c r="M45" s="88" t="s">
        <v>33</v>
      </c>
      <c r="N45" s="89" t="s">
        <v>33</v>
      </c>
      <c r="O45" s="89" t="s">
        <v>33</v>
      </c>
      <c r="P45" s="88" t="s">
        <v>205</v>
      </c>
      <c r="Q45" s="88" t="s">
        <v>861</v>
      </c>
      <c r="R45" s="84"/>
      <c r="S45" s="84"/>
      <c r="T45" s="84"/>
      <c r="U45" s="84"/>
      <c r="V45" s="84"/>
      <c r="W45" s="84"/>
      <c r="X45" s="84"/>
      <c r="Y45" s="84"/>
      <c r="Z45" s="84"/>
      <c r="AA45" s="84"/>
      <c r="AB45" s="84"/>
    </row>
    <row r="46" spans="1:28" ht="15" customHeight="1">
      <c r="A46" s="80">
        <v>46274</v>
      </c>
      <c r="B46" s="84" t="s">
        <v>1560</v>
      </c>
      <c r="C46" s="88">
        <v>9944333952</v>
      </c>
      <c r="D46" s="88" t="s">
        <v>1561</v>
      </c>
      <c r="E46" s="88" t="s">
        <v>25</v>
      </c>
      <c r="F46" s="84" t="s">
        <v>33</v>
      </c>
      <c r="G46" s="84" t="s">
        <v>33</v>
      </c>
      <c r="H46" s="84"/>
      <c r="I46" s="88"/>
      <c r="J46" s="88"/>
      <c r="K46" s="88"/>
      <c r="L46" s="88" t="s">
        <v>33</v>
      </c>
      <c r="M46" s="88" t="s">
        <v>33</v>
      </c>
      <c r="N46" s="89" t="s">
        <v>33</v>
      </c>
      <c r="O46" s="89" t="s">
        <v>33</v>
      </c>
      <c r="P46" s="88"/>
      <c r="Q46" s="88"/>
      <c r="R46" s="84" t="s">
        <v>1562</v>
      </c>
      <c r="S46" s="84" t="s">
        <v>33</v>
      </c>
      <c r="T46" s="84"/>
      <c r="U46" s="84"/>
      <c r="V46" s="84"/>
      <c r="W46" s="84"/>
      <c r="X46" s="84"/>
      <c r="Y46" s="84"/>
      <c r="Z46" s="84"/>
      <c r="AA46" s="84"/>
      <c r="AB46" s="84"/>
    </row>
    <row r="47" spans="1:28" ht="15" hidden="1" customHeight="1">
      <c r="A47" s="80">
        <v>46274</v>
      </c>
      <c r="B47" s="84" t="s">
        <v>1563</v>
      </c>
      <c r="C47" s="88">
        <v>9043528128</v>
      </c>
      <c r="D47" s="88" t="s">
        <v>1564</v>
      </c>
      <c r="E47" s="88" t="s">
        <v>48</v>
      </c>
      <c r="F47" s="84" t="s">
        <v>33</v>
      </c>
      <c r="G47" s="84" t="s">
        <v>33</v>
      </c>
      <c r="H47" s="84" t="s">
        <v>33</v>
      </c>
      <c r="I47" s="88" t="s">
        <v>67</v>
      </c>
      <c r="J47" s="88" t="s">
        <v>33</v>
      </c>
      <c r="K47" s="88" t="s">
        <v>304</v>
      </c>
      <c r="L47" s="88" t="s">
        <v>33</v>
      </c>
      <c r="M47" s="88" t="s">
        <v>33</v>
      </c>
      <c r="N47" s="89" t="s">
        <v>33</v>
      </c>
      <c r="O47" s="89" t="s">
        <v>33</v>
      </c>
      <c r="P47" s="88" t="s">
        <v>1565</v>
      </c>
      <c r="Q47" s="88" t="s">
        <v>709</v>
      </c>
      <c r="R47" s="84"/>
      <c r="S47" s="84"/>
      <c r="T47" s="84"/>
      <c r="U47" s="84"/>
      <c r="V47" s="84"/>
      <c r="W47" s="84"/>
      <c r="X47" s="84"/>
      <c r="Y47" s="84"/>
      <c r="Z47" s="84"/>
      <c r="AA47" s="84"/>
      <c r="AB47" s="84"/>
    </row>
    <row r="48" spans="1:28" ht="15" hidden="1" customHeight="1">
      <c r="A48" s="80">
        <v>46274</v>
      </c>
      <c r="B48" s="84" t="s">
        <v>1566</v>
      </c>
      <c r="C48" s="88">
        <v>8056794676</v>
      </c>
      <c r="D48" s="88" t="s">
        <v>1567</v>
      </c>
      <c r="E48" s="88" t="s">
        <v>319</v>
      </c>
      <c r="F48" s="84" t="s">
        <v>33</v>
      </c>
      <c r="G48" s="84" t="s">
        <v>37</v>
      </c>
      <c r="H48" s="84"/>
      <c r="I48" s="88"/>
      <c r="J48" s="88"/>
      <c r="K48" s="88"/>
      <c r="L48" s="88" t="s">
        <v>33</v>
      </c>
      <c r="M48" s="88" t="s">
        <v>33</v>
      </c>
      <c r="N48" s="89" t="s">
        <v>33</v>
      </c>
      <c r="O48" s="89" t="s">
        <v>33</v>
      </c>
      <c r="P48" s="88"/>
      <c r="Q48" s="88"/>
      <c r="R48" s="84" t="s">
        <v>1568</v>
      </c>
      <c r="S48" s="84" t="s">
        <v>33</v>
      </c>
      <c r="T48" s="84"/>
      <c r="U48" s="84"/>
      <c r="V48" s="84"/>
      <c r="W48" s="84"/>
      <c r="X48" s="84"/>
      <c r="Y48" s="84"/>
      <c r="Z48" s="84"/>
      <c r="AA48" s="84"/>
      <c r="AB48" s="84"/>
    </row>
    <row r="49" spans="1:28" ht="15" hidden="1" customHeight="1">
      <c r="A49" s="80">
        <v>46275</v>
      </c>
      <c r="B49" s="84" t="s">
        <v>1569</v>
      </c>
      <c r="C49" s="88">
        <v>9841202443</v>
      </c>
      <c r="D49" s="91" t="s">
        <v>1570</v>
      </c>
      <c r="E49" s="88" t="s">
        <v>25</v>
      </c>
      <c r="F49" s="84" t="s">
        <v>33</v>
      </c>
      <c r="G49" s="88" t="s">
        <v>37</v>
      </c>
      <c r="H49" s="88" t="s">
        <v>33</v>
      </c>
      <c r="I49" s="88" t="s">
        <v>1571</v>
      </c>
      <c r="J49" s="88"/>
      <c r="K49" s="88"/>
      <c r="L49" s="88" t="s">
        <v>33</v>
      </c>
      <c r="M49" s="88" t="s">
        <v>33</v>
      </c>
      <c r="N49" s="89" t="s">
        <v>33</v>
      </c>
      <c r="O49" s="89" t="s">
        <v>33</v>
      </c>
      <c r="P49" s="88" t="s">
        <v>772</v>
      </c>
      <c r="Q49" s="88" t="s">
        <v>1572</v>
      </c>
      <c r="R49" s="88" t="s">
        <v>1573</v>
      </c>
      <c r="S49" s="89" t="s">
        <v>33</v>
      </c>
      <c r="T49" s="88"/>
      <c r="U49" s="88"/>
      <c r="V49" s="88"/>
      <c r="W49" s="88" t="s">
        <v>33</v>
      </c>
      <c r="X49" s="88"/>
      <c r="Y49" s="88"/>
      <c r="Z49" s="88"/>
      <c r="AA49" s="88"/>
      <c r="AB49" s="88"/>
    </row>
    <row r="50" spans="1:28" ht="15" customHeight="1">
      <c r="A50" s="80">
        <v>46275</v>
      </c>
      <c r="B50" s="84" t="s">
        <v>1574</v>
      </c>
      <c r="C50" s="88">
        <v>8838857450</v>
      </c>
      <c r="D50" s="88" t="s">
        <v>1575</v>
      </c>
      <c r="E50" s="88" t="s">
        <v>48</v>
      </c>
      <c r="F50" s="84" t="s">
        <v>33</v>
      </c>
      <c r="G50" s="88" t="s">
        <v>33</v>
      </c>
      <c r="H50" s="88" t="s">
        <v>33</v>
      </c>
      <c r="I50" s="88" t="s">
        <v>67</v>
      </c>
      <c r="J50" s="88" t="s">
        <v>33</v>
      </c>
      <c r="K50" s="88" t="s">
        <v>304</v>
      </c>
      <c r="L50" s="88" t="s">
        <v>33</v>
      </c>
      <c r="M50" s="88" t="s">
        <v>33</v>
      </c>
      <c r="N50" s="89" t="s">
        <v>33</v>
      </c>
      <c r="O50" s="89" t="s">
        <v>33</v>
      </c>
      <c r="P50" s="88" t="s">
        <v>205</v>
      </c>
      <c r="Q50" s="88" t="s">
        <v>1576</v>
      </c>
      <c r="R50" s="88" t="s">
        <v>1577</v>
      </c>
      <c r="S50" s="88" t="s">
        <v>33</v>
      </c>
      <c r="T50" s="88"/>
      <c r="U50" s="88"/>
      <c r="V50" s="88"/>
      <c r="W50" s="88"/>
      <c r="X50" s="88"/>
      <c r="Y50" s="88"/>
      <c r="Z50" s="88"/>
      <c r="AA50" s="88"/>
      <c r="AB50" s="88"/>
    </row>
    <row r="51" spans="1:28" ht="15" hidden="1" customHeight="1">
      <c r="A51" s="80">
        <v>46276</v>
      </c>
      <c r="B51" s="84" t="s">
        <v>1578</v>
      </c>
      <c r="C51" s="88">
        <v>9884893435</v>
      </c>
      <c r="D51" s="88" t="s">
        <v>1579</v>
      </c>
      <c r="E51" s="88" t="s">
        <v>25</v>
      </c>
      <c r="F51" s="88" t="s">
        <v>33</v>
      </c>
      <c r="G51" s="88" t="s">
        <v>33</v>
      </c>
      <c r="H51" s="88" t="s">
        <v>33</v>
      </c>
      <c r="I51" s="88" t="s">
        <v>1580</v>
      </c>
      <c r="J51" s="88" t="s">
        <v>33</v>
      </c>
      <c r="K51" s="88" t="s">
        <v>304</v>
      </c>
      <c r="L51" s="88" t="s">
        <v>33</v>
      </c>
      <c r="M51" s="88" t="s">
        <v>33</v>
      </c>
      <c r="N51" s="89" t="s">
        <v>33</v>
      </c>
      <c r="O51" s="89" t="s">
        <v>33</v>
      </c>
      <c r="P51" s="88" t="s">
        <v>163</v>
      </c>
      <c r="Q51" s="88" t="s">
        <v>320</v>
      </c>
      <c r="R51" s="88"/>
      <c r="S51" s="88"/>
      <c r="T51" s="88"/>
      <c r="U51" s="88"/>
      <c r="V51" s="88"/>
      <c r="W51" s="88"/>
      <c r="X51" s="88"/>
      <c r="Y51" s="88"/>
      <c r="Z51" s="88"/>
      <c r="AA51" s="88"/>
      <c r="AB51" s="88"/>
    </row>
    <row r="52" spans="1:28" ht="15" hidden="1" customHeight="1">
      <c r="A52" s="80">
        <v>46276</v>
      </c>
      <c r="B52" s="88" t="s">
        <v>1581</v>
      </c>
      <c r="C52" s="88">
        <v>9786341750</v>
      </c>
      <c r="D52" s="88" t="s">
        <v>1582</v>
      </c>
      <c r="E52" s="88" t="s">
        <v>48</v>
      </c>
      <c r="F52" s="88" t="s">
        <v>33</v>
      </c>
      <c r="G52" s="88" t="s">
        <v>33</v>
      </c>
      <c r="H52" s="88" t="s">
        <v>33</v>
      </c>
      <c r="I52" s="88" t="s">
        <v>63</v>
      </c>
      <c r="J52" s="88" t="s">
        <v>33</v>
      </c>
      <c r="K52" s="88" t="s">
        <v>304</v>
      </c>
      <c r="L52" s="88" t="s">
        <v>33</v>
      </c>
      <c r="M52" s="88" t="s">
        <v>33</v>
      </c>
      <c r="N52" s="89" t="s">
        <v>33</v>
      </c>
      <c r="O52" s="89" t="s">
        <v>33</v>
      </c>
      <c r="P52" s="88" t="s">
        <v>1583</v>
      </c>
      <c r="Q52" s="88" t="s">
        <v>1584</v>
      </c>
      <c r="R52" s="88"/>
      <c r="S52" s="88"/>
      <c r="T52" s="88"/>
      <c r="U52" s="88"/>
      <c r="V52" s="88"/>
      <c r="W52" s="88"/>
      <c r="X52" s="88"/>
      <c r="Y52" s="88"/>
      <c r="Z52" s="88"/>
      <c r="AA52" s="88"/>
      <c r="AB52" s="88"/>
    </row>
    <row r="53" spans="1:28" ht="15" hidden="1" customHeight="1">
      <c r="A53" s="80">
        <v>46276</v>
      </c>
      <c r="B53" s="88" t="s">
        <v>748</v>
      </c>
      <c r="C53" s="88">
        <v>9361788160</v>
      </c>
      <c r="D53" s="88" t="s">
        <v>749</v>
      </c>
      <c r="E53" s="88" t="s">
        <v>1407</v>
      </c>
      <c r="F53" s="88" t="s">
        <v>33</v>
      </c>
      <c r="G53" s="88" t="s">
        <v>33</v>
      </c>
      <c r="H53" s="88"/>
      <c r="I53" s="88"/>
      <c r="J53" s="88"/>
      <c r="K53" s="88"/>
      <c r="L53" s="88" t="s">
        <v>33</v>
      </c>
      <c r="M53" s="88" t="s">
        <v>33</v>
      </c>
      <c r="N53" s="89" t="s">
        <v>33</v>
      </c>
      <c r="O53" s="89" t="s">
        <v>33</v>
      </c>
      <c r="P53" s="88"/>
      <c r="Q53" s="88"/>
      <c r="R53" s="88"/>
      <c r="S53" s="88"/>
      <c r="T53" s="88"/>
      <c r="U53" s="88"/>
      <c r="V53" s="88"/>
      <c r="W53" s="88"/>
      <c r="X53" s="88"/>
      <c r="Y53" s="88"/>
      <c r="Z53" s="88"/>
      <c r="AA53" s="88"/>
      <c r="AB53" s="88"/>
    </row>
    <row r="54" spans="1:28" ht="15" customHeight="1">
      <c r="A54" s="80">
        <v>46280</v>
      </c>
      <c r="B54" s="88" t="s">
        <v>1585</v>
      </c>
      <c r="C54" s="88">
        <v>7449024976</v>
      </c>
      <c r="D54" s="88" t="s">
        <v>1586</v>
      </c>
      <c r="E54" s="88" t="s">
        <v>48</v>
      </c>
      <c r="F54" s="88" t="s">
        <v>33</v>
      </c>
      <c r="G54" s="88" t="s">
        <v>33</v>
      </c>
      <c r="H54" s="88"/>
      <c r="I54" s="88"/>
      <c r="J54" s="88"/>
      <c r="K54" s="88"/>
      <c r="L54" s="88" t="s">
        <v>33</v>
      </c>
      <c r="M54" s="88" t="s">
        <v>33</v>
      </c>
      <c r="N54" s="89" t="s">
        <v>33</v>
      </c>
      <c r="O54" s="89" t="s">
        <v>33</v>
      </c>
      <c r="P54" s="88"/>
      <c r="Q54" s="88"/>
      <c r="R54" s="88" t="s">
        <v>1587</v>
      </c>
      <c r="S54" s="89" t="s">
        <v>33</v>
      </c>
      <c r="T54" s="88" t="s">
        <v>33</v>
      </c>
      <c r="U54" s="88"/>
      <c r="V54" s="88"/>
      <c r="W54" s="88"/>
      <c r="X54" s="88"/>
      <c r="Y54" s="88"/>
      <c r="Z54" s="88"/>
      <c r="AA54" s="88"/>
      <c r="AB54" s="88"/>
    </row>
    <row r="55" spans="1:28" ht="15" customHeight="1">
      <c r="A55" s="80">
        <v>46280</v>
      </c>
      <c r="B55" s="88" t="s">
        <v>1497</v>
      </c>
      <c r="C55" s="88">
        <v>9884375588</v>
      </c>
      <c r="D55" s="88" t="s">
        <v>1498</v>
      </c>
      <c r="E55" s="88" t="s">
        <v>251</v>
      </c>
      <c r="F55" s="88" t="s">
        <v>33</v>
      </c>
      <c r="G55" s="88" t="s">
        <v>33</v>
      </c>
      <c r="H55" s="88"/>
      <c r="I55" s="88"/>
      <c r="J55" s="88"/>
      <c r="K55" s="88"/>
      <c r="L55" s="88" t="s">
        <v>33</v>
      </c>
      <c r="M55" s="88" t="s">
        <v>33</v>
      </c>
      <c r="N55" s="89" t="s">
        <v>33</v>
      </c>
      <c r="O55" s="89" t="s">
        <v>33</v>
      </c>
      <c r="P55" s="88"/>
      <c r="Q55" s="88"/>
      <c r="R55" s="88" t="s">
        <v>1588</v>
      </c>
      <c r="S55" s="88" t="s">
        <v>33</v>
      </c>
      <c r="T55" s="88" t="s">
        <v>33</v>
      </c>
      <c r="U55" s="88" t="s">
        <v>33</v>
      </c>
      <c r="V55" s="88"/>
      <c r="W55" s="88"/>
      <c r="X55" s="88"/>
      <c r="Y55" s="88" t="s">
        <v>33</v>
      </c>
      <c r="Z55" s="88"/>
      <c r="AA55" s="88"/>
      <c r="AB55" s="88"/>
    </row>
    <row r="56" spans="1:28" ht="15" customHeight="1">
      <c r="A56" s="80">
        <v>46281</v>
      </c>
      <c r="B56" s="88" t="s">
        <v>1589</v>
      </c>
      <c r="C56" s="88">
        <v>7639838251</v>
      </c>
      <c r="D56" s="88" t="s">
        <v>1590</v>
      </c>
      <c r="E56" s="88" t="s">
        <v>48</v>
      </c>
      <c r="F56" s="88" t="s">
        <v>33</v>
      </c>
      <c r="G56" s="88" t="s">
        <v>33</v>
      </c>
      <c r="H56" s="88"/>
      <c r="I56" s="88"/>
      <c r="J56" s="88"/>
      <c r="K56" s="88"/>
      <c r="L56" s="88" t="s">
        <v>33</v>
      </c>
      <c r="M56" s="88" t="s">
        <v>33</v>
      </c>
      <c r="N56" s="89" t="s">
        <v>33</v>
      </c>
      <c r="O56" s="89" t="s">
        <v>33</v>
      </c>
      <c r="P56" s="88"/>
      <c r="Q56" s="88"/>
      <c r="R56" s="88" t="s">
        <v>1591</v>
      </c>
      <c r="S56" s="88" t="s">
        <v>33</v>
      </c>
      <c r="T56" s="88"/>
      <c r="U56" s="88"/>
      <c r="V56" s="88"/>
      <c r="W56" s="88"/>
      <c r="X56" s="88"/>
      <c r="Y56" s="88"/>
      <c r="Z56" s="88"/>
      <c r="AA56" s="88"/>
      <c r="AB56" s="88"/>
    </row>
    <row r="57" spans="1:28" ht="15" hidden="1" customHeight="1">
      <c r="A57" s="80">
        <v>46281</v>
      </c>
      <c r="B57" s="88" t="s">
        <v>1592</v>
      </c>
      <c r="C57" s="88">
        <v>8451870386</v>
      </c>
      <c r="D57" s="88" t="s">
        <v>1593</v>
      </c>
      <c r="E57" s="88" t="s">
        <v>48</v>
      </c>
      <c r="F57" s="88" t="s">
        <v>33</v>
      </c>
      <c r="G57" s="88" t="s">
        <v>37</v>
      </c>
      <c r="H57" s="88" t="s">
        <v>33</v>
      </c>
      <c r="I57" s="94" t="s">
        <v>1594</v>
      </c>
      <c r="J57" s="88"/>
      <c r="K57" s="88"/>
      <c r="L57" s="88" t="s">
        <v>33</v>
      </c>
      <c r="M57" s="88" t="s">
        <v>33</v>
      </c>
      <c r="N57" s="89" t="s">
        <v>33</v>
      </c>
      <c r="O57" s="89" t="s">
        <v>33</v>
      </c>
      <c r="P57" s="88" t="s">
        <v>342</v>
      </c>
      <c r="Q57" s="88" t="s">
        <v>342</v>
      </c>
      <c r="R57" s="88" t="s">
        <v>1595</v>
      </c>
      <c r="S57" s="89" t="s">
        <v>33</v>
      </c>
      <c r="T57" s="88"/>
      <c r="U57" s="88"/>
      <c r="V57" s="88"/>
      <c r="W57" s="88"/>
      <c r="X57" s="88"/>
      <c r="Y57" s="88"/>
      <c r="Z57" s="88"/>
      <c r="AA57" s="88"/>
      <c r="AB57" s="88"/>
    </row>
    <row r="58" spans="1:28" ht="15" hidden="1" customHeight="1">
      <c r="A58" s="80">
        <v>46281</v>
      </c>
      <c r="B58" s="88" t="s">
        <v>1563</v>
      </c>
      <c r="C58" s="88">
        <v>9043528128</v>
      </c>
      <c r="D58" s="88" t="s">
        <v>1564</v>
      </c>
      <c r="E58" s="88" t="s">
        <v>48</v>
      </c>
      <c r="F58" s="88" t="s">
        <v>62</v>
      </c>
      <c r="G58" s="88" t="s">
        <v>33</v>
      </c>
      <c r="H58" s="84" t="s">
        <v>33</v>
      </c>
      <c r="I58" s="88" t="s">
        <v>67</v>
      </c>
      <c r="J58" s="88" t="s">
        <v>33</v>
      </c>
      <c r="K58" s="88" t="s">
        <v>304</v>
      </c>
      <c r="L58" s="88" t="s">
        <v>33</v>
      </c>
      <c r="M58" s="88" t="s">
        <v>33</v>
      </c>
      <c r="N58" s="89" t="s">
        <v>33</v>
      </c>
      <c r="O58" s="89" t="s">
        <v>33</v>
      </c>
      <c r="P58" s="88" t="s">
        <v>1565</v>
      </c>
      <c r="Q58" s="88" t="s">
        <v>709</v>
      </c>
      <c r="R58" s="88"/>
      <c r="S58" s="84"/>
      <c r="T58" s="84"/>
      <c r="U58" s="84"/>
      <c r="V58" s="84"/>
      <c r="W58" s="84"/>
      <c r="X58" s="84"/>
      <c r="Y58" s="84"/>
      <c r="Z58" s="84"/>
      <c r="AA58" s="84"/>
      <c r="AB58" s="84"/>
    </row>
    <row r="59" spans="1:28" ht="15" hidden="1" customHeight="1">
      <c r="A59" s="80">
        <v>46281</v>
      </c>
      <c r="B59" s="88" t="s">
        <v>1596</v>
      </c>
      <c r="C59" s="88">
        <v>9789097818</v>
      </c>
      <c r="D59" s="88" t="s">
        <v>1597</v>
      </c>
      <c r="E59" s="88" t="s">
        <v>43</v>
      </c>
      <c r="F59" s="88" t="s">
        <v>33</v>
      </c>
      <c r="G59" s="88" t="s">
        <v>33</v>
      </c>
      <c r="H59" s="88"/>
      <c r="I59" s="88"/>
      <c r="J59" s="88"/>
      <c r="K59" s="88"/>
      <c r="L59" s="88" t="s">
        <v>33</v>
      </c>
      <c r="M59" s="88" t="s">
        <v>33</v>
      </c>
      <c r="N59" s="89" t="s">
        <v>33</v>
      </c>
      <c r="O59" s="89" t="s">
        <v>33</v>
      </c>
      <c r="P59" s="88"/>
      <c r="Q59" s="88"/>
      <c r="R59" s="88"/>
      <c r="S59" s="88"/>
      <c r="T59" s="88"/>
      <c r="U59" s="88"/>
      <c r="V59" s="88"/>
      <c r="W59" s="88"/>
      <c r="X59" s="88"/>
      <c r="Y59" s="88"/>
      <c r="Z59" s="88"/>
      <c r="AA59" s="88"/>
      <c r="AB59" s="88"/>
    </row>
    <row r="60" spans="1:28" ht="15" customHeight="1">
      <c r="A60" s="80">
        <v>46282</v>
      </c>
      <c r="B60" s="93" t="s">
        <v>1598</v>
      </c>
      <c r="C60" s="88">
        <v>7829896980</v>
      </c>
      <c r="D60" s="88" t="s">
        <v>1599</v>
      </c>
      <c r="E60" s="88" t="s">
        <v>48</v>
      </c>
      <c r="F60" s="88" t="s">
        <v>300</v>
      </c>
      <c r="G60" s="88" t="s">
        <v>33</v>
      </c>
      <c r="H60" s="88" t="s">
        <v>33</v>
      </c>
      <c r="I60" s="88" t="s">
        <v>1600</v>
      </c>
      <c r="J60" s="88"/>
      <c r="K60" s="88"/>
      <c r="L60" s="88" t="s">
        <v>33</v>
      </c>
      <c r="M60" s="88" t="s">
        <v>33</v>
      </c>
      <c r="N60" s="89" t="s">
        <v>33</v>
      </c>
      <c r="O60" s="89" t="s">
        <v>33</v>
      </c>
      <c r="P60" s="88" t="s">
        <v>1601</v>
      </c>
      <c r="Q60" s="88" t="s">
        <v>1602</v>
      </c>
      <c r="R60" s="88" t="s">
        <v>1603</v>
      </c>
      <c r="S60" s="89" t="s">
        <v>33</v>
      </c>
      <c r="T60" s="88" t="s">
        <v>33</v>
      </c>
      <c r="U60" s="88"/>
      <c r="V60" s="88"/>
      <c r="W60" s="88"/>
      <c r="X60" s="88"/>
      <c r="Y60" s="88"/>
      <c r="Z60" s="88"/>
      <c r="AA60" s="88"/>
      <c r="AB60" s="88"/>
    </row>
    <row r="61" spans="1:28" ht="15" customHeight="1">
      <c r="A61" s="80">
        <v>46282</v>
      </c>
      <c r="B61" s="88" t="s">
        <v>1604</v>
      </c>
      <c r="C61" s="88">
        <v>9080590656</v>
      </c>
      <c r="D61" s="88" t="s">
        <v>1605</v>
      </c>
      <c r="E61" s="88" t="s">
        <v>48</v>
      </c>
      <c r="F61" s="88" t="s">
        <v>300</v>
      </c>
      <c r="G61" s="88" t="s">
        <v>33</v>
      </c>
      <c r="H61" s="88"/>
      <c r="I61" s="88"/>
      <c r="J61" s="88"/>
      <c r="K61" s="88"/>
      <c r="L61" s="88" t="s">
        <v>33</v>
      </c>
      <c r="M61" s="88" t="s">
        <v>33</v>
      </c>
      <c r="N61" s="89" t="s">
        <v>33</v>
      </c>
      <c r="O61" s="89" t="s">
        <v>33</v>
      </c>
      <c r="P61" s="88"/>
      <c r="Q61" s="88"/>
      <c r="R61" s="88" t="s">
        <v>1606</v>
      </c>
      <c r="S61" s="88" t="s">
        <v>33</v>
      </c>
      <c r="T61" s="88"/>
      <c r="U61" s="88"/>
      <c r="V61" s="88"/>
      <c r="W61" s="88"/>
      <c r="X61" s="88"/>
      <c r="Y61" s="88"/>
      <c r="Z61" s="88"/>
      <c r="AA61" s="88"/>
      <c r="AB61" s="88"/>
    </row>
    <row r="62" spans="1:28" ht="15" customHeight="1">
      <c r="A62" s="80">
        <v>46282</v>
      </c>
      <c r="B62" s="88" t="s">
        <v>1607</v>
      </c>
      <c r="C62" s="88">
        <v>7094824687</v>
      </c>
      <c r="D62" s="88" t="s">
        <v>1608</v>
      </c>
      <c r="E62" s="88" t="s">
        <v>25</v>
      </c>
      <c r="F62" s="88" t="s">
        <v>300</v>
      </c>
      <c r="G62" s="88" t="s">
        <v>33</v>
      </c>
      <c r="H62" s="88"/>
      <c r="I62" s="88"/>
      <c r="J62" s="88"/>
      <c r="K62" s="88"/>
      <c r="L62" s="88" t="s">
        <v>33</v>
      </c>
      <c r="M62" s="88" t="s">
        <v>33</v>
      </c>
      <c r="N62" s="89" t="s">
        <v>33</v>
      </c>
      <c r="O62" s="89" t="s">
        <v>33</v>
      </c>
      <c r="P62" s="88"/>
      <c r="Q62" s="88"/>
      <c r="R62" s="88" t="s">
        <v>1609</v>
      </c>
      <c r="S62" s="89" t="s">
        <v>33</v>
      </c>
      <c r="T62" s="88" t="s">
        <v>33</v>
      </c>
      <c r="U62" s="88" t="s">
        <v>33</v>
      </c>
      <c r="V62" s="88"/>
      <c r="W62" s="88"/>
      <c r="X62" s="88"/>
      <c r="Y62" s="88" t="s">
        <v>33</v>
      </c>
      <c r="Z62" s="88"/>
      <c r="AA62" s="88"/>
      <c r="AB62" s="88" t="s">
        <v>33</v>
      </c>
    </row>
    <row r="63" spans="1:28" ht="15" customHeight="1">
      <c r="A63" s="80">
        <v>46282</v>
      </c>
      <c r="B63" s="88" t="s">
        <v>1610</v>
      </c>
      <c r="C63" s="88">
        <v>9677004644</v>
      </c>
      <c r="D63" s="88" t="s">
        <v>1433</v>
      </c>
      <c r="E63" s="88" t="s">
        <v>48</v>
      </c>
      <c r="F63" s="88" t="s">
        <v>62</v>
      </c>
      <c r="G63" s="88" t="s">
        <v>33</v>
      </c>
      <c r="H63" s="88"/>
      <c r="I63" s="88"/>
      <c r="J63" s="88"/>
      <c r="K63" s="88"/>
      <c r="L63" s="88" t="s">
        <v>33</v>
      </c>
      <c r="M63" s="88" t="s">
        <v>33</v>
      </c>
      <c r="N63" s="89" t="s">
        <v>33</v>
      </c>
      <c r="O63" s="89" t="s">
        <v>33</v>
      </c>
      <c r="P63" s="88"/>
      <c r="Q63" s="88"/>
      <c r="R63" s="88" t="s">
        <v>1436</v>
      </c>
      <c r="S63" s="88" t="s">
        <v>33</v>
      </c>
      <c r="T63" s="88"/>
      <c r="U63" s="88"/>
      <c r="V63" s="88"/>
      <c r="W63" s="88"/>
      <c r="X63" s="88"/>
      <c r="Y63" s="88"/>
      <c r="Z63" s="88"/>
      <c r="AA63" s="88"/>
      <c r="AB63" s="88"/>
    </row>
    <row r="64" spans="1:28" ht="15" customHeight="1">
      <c r="A64" s="80">
        <v>46283</v>
      </c>
      <c r="B64" s="88" t="s">
        <v>1611</v>
      </c>
      <c r="C64" s="88">
        <v>9790961418</v>
      </c>
      <c r="D64" s="88" t="s">
        <v>1612</v>
      </c>
      <c r="E64" s="88" t="s">
        <v>25</v>
      </c>
      <c r="F64" s="88" t="s">
        <v>33</v>
      </c>
      <c r="G64" s="88" t="s">
        <v>33</v>
      </c>
      <c r="H64" s="88"/>
      <c r="I64" s="88"/>
      <c r="J64" s="88"/>
      <c r="K64" s="88"/>
      <c r="L64" s="88" t="s">
        <v>33</v>
      </c>
      <c r="M64" s="88" t="s">
        <v>33</v>
      </c>
      <c r="N64" s="89" t="s">
        <v>33</v>
      </c>
      <c r="O64" s="89" t="s">
        <v>33</v>
      </c>
      <c r="P64" s="88"/>
      <c r="Q64" s="88"/>
      <c r="R64" s="88" t="s">
        <v>1613</v>
      </c>
      <c r="S64" s="89" t="s">
        <v>33</v>
      </c>
      <c r="T64" s="88"/>
      <c r="U64" s="88"/>
      <c r="V64" s="88"/>
      <c r="W64" s="88"/>
      <c r="X64" s="88"/>
      <c r="Y64" s="88"/>
      <c r="Z64" s="88"/>
      <c r="AA64" s="88"/>
      <c r="AB64" s="88"/>
    </row>
    <row r="65" spans="1:28" ht="15" customHeight="1">
      <c r="A65" s="80">
        <v>46283</v>
      </c>
      <c r="B65" s="88" t="s">
        <v>1614</v>
      </c>
      <c r="C65" s="88">
        <v>7358529605</v>
      </c>
      <c r="D65" s="88" t="s">
        <v>1615</v>
      </c>
      <c r="E65" s="88" t="s">
        <v>48</v>
      </c>
      <c r="F65" s="88" t="s">
        <v>33</v>
      </c>
      <c r="G65" s="88" t="s">
        <v>33</v>
      </c>
      <c r="H65" s="88" t="s">
        <v>33</v>
      </c>
      <c r="I65" s="88" t="s">
        <v>1616</v>
      </c>
      <c r="J65" s="88"/>
      <c r="K65" s="88"/>
      <c r="L65" s="88" t="s">
        <v>33</v>
      </c>
      <c r="M65" s="88" t="s">
        <v>33</v>
      </c>
      <c r="N65" s="89" t="s">
        <v>33</v>
      </c>
      <c r="O65" s="89" t="s">
        <v>33</v>
      </c>
      <c r="P65" s="88" t="s">
        <v>465</v>
      </c>
      <c r="Q65" s="88" t="s">
        <v>465</v>
      </c>
      <c r="R65" s="88" t="s">
        <v>1617</v>
      </c>
      <c r="S65" s="89" t="s">
        <v>33</v>
      </c>
      <c r="T65" s="88" t="s">
        <v>33</v>
      </c>
      <c r="U65" s="88"/>
      <c r="V65" s="88"/>
      <c r="W65" s="88"/>
      <c r="X65" s="88"/>
      <c r="Y65" s="88"/>
      <c r="Z65" s="88"/>
      <c r="AA65" s="88"/>
      <c r="AB65" s="88" t="s">
        <v>33</v>
      </c>
    </row>
    <row r="66" spans="1:28" ht="15" customHeight="1">
      <c r="A66" s="80">
        <v>46283</v>
      </c>
      <c r="B66" s="88" t="s">
        <v>1497</v>
      </c>
      <c r="C66" s="88">
        <v>9884375588</v>
      </c>
      <c r="D66" s="88" t="s">
        <v>1498</v>
      </c>
      <c r="E66" s="88" t="s">
        <v>251</v>
      </c>
      <c r="F66" s="88" t="s">
        <v>62</v>
      </c>
      <c r="G66" s="88" t="s">
        <v>33</v>
      </c>
      <c r="H66" s="88"/>
      <c r="I66" s="88"/>
      <c r="J66" s="88"/>
      <c r="K66" s="88"/>
      <c r="L66" s="88" t="s">
        <v>33</v>
      </c>
      <c r="M66" s="88" t="s">
        <v>33</v>
      </c>
      <c r="N66" s="89" t="s">
        <v>33</v>
      </c>
      <c r="O66" s="89" t="s">
        <v>33</v>
      </c>
      <c r="P66" s="88" t="s">
        <v>1499</v>
      </c>
      <c r="Q66" s="88" t="s">
        <v>1500</v>
      </c>
      <c r="R66" s="88" t="s">
        <v>1501</v>
      </c>
      <c r="S66" s="84" t="s">
        <v>33</v>
      </c>
      <c r="T66" s="84" t="s">
        <v>33</v>
      </c>
      <c r="U66" s="84" t="s">
        <v>33</v>
      </c>
      <c r="V66" s="84" t="s">
        <v>33</v>
      </c>
      <c r="W66" s="84" t="s">
        <v>33</v>
      </c>
      <c r="X66" s="84"/>
      <c r="Y66" s="84" t="s">
        <v>33</v>
      </c>
      <c r="Z66" s="84"/>
      <c r="AA66" s="84"/>
      <c r="AB66" s="84"/>
    </row>
    <row r="67" spans="1:28" ht="15" hidden="1" customHeight="1">
      <c r="A67" s="80">
        <v>46283</v>
      </c>
      <c r="B67" s="88" t="s">
        <v>543</v>
      </c>
      <c r="C67" s="88">
        <v>8092909889</v>
      </c>
      <c r="D67" s="88" t="s">
        <v>544</v>
      </c>
      <c r="E67" s="88" t="s">
        <v>48</v>
      </c>
      <c r="F67" s="88" t="s">
        <v>62</v>
      </c>
      <c r="G67" s="88" t="s">
        <v>37</v>
      </c>
      <c r="H67" s="88"/>
      <c r="I67" s="88"/>
      <c r="J67" s="88"/>
      <c r="K67" s="88"/>
      <c r="L67" s="88" t="s">
        <v>33</v>
      </c>
      <c r="M67" s="88" t="s">
        <v>33</v>
      </c>
      <c r="N67" s="89" t="s">
        <v>33</v>
      </c>
      <c r="O67" s="89" t="s">
        <v>33</v>
      </c>
      <c r="P67" s="88"/>
      <c r="Q67" s="88"/>
      <c r="R67" s="88" t="s">
        <v>547</v>
      </c>
      <c r="S67" s="89" t="s">
        <v>33</v>
      </c>
      <c r="T67" s="88"/>
      <c r="U67" s="88"/>
      <c r="V67" s="88"/>
      <c r="W67" s="88"/>
      <c r="X67" s="88"/>
      <c r="Y67" s="88"/>
      <c r="Z67" s="88"/>
      <c r="AA67" s="88"/>
      <c r="AB67" s="88"/>
    </row>
    <row r="68" spans="1:28" ht="15" hidden="1" customHeight="1">
      <c r="A68" s="80">
        <v>46286</v>
      </c>
      <c r="B68" s="88" t="s">
        <v>1618</v>
      </c>
      <c r="C68" s="88">
        <v>8179694088</v>
      </c>
      <c r="D68" s="88" t="s">
        <v>1619</v>
      </c>
      <c r="E68" s="88" t="s">
        <v>48</v>
      </c>
      <c r="F68" s="88" t="s">
        <v>33</v>
      </c>
      <c r="G68" s="88" t="s">
        <v>37</v>
      </c>
      <c r="H68" s="88"/>
      <c r="I68" s="88"/>
      <c r="J68" s="88"/>
      <c r="K68" s="88"/>
      <c r="L68" s="88" t="s">
        <v>33</v>
      </c>
      <c r="M68" s="88" t="s">
        <v>33</v>
      </c>
      <c r="N68" s="89" t="s">
        <v>33</v>
      </c>
      <c r="O68" s="89" t="s">
        <v>33</v>
      </c>
      <c r="P68" s="88"/>
      <c r="Q68" s="88"/>
      <c r="R68" s="88" t="s">
        <v>1620</v>
      </c>
      <c r="S68" s="89" t="s">
        <v>33</v>
      </c>
      <c r="T68" s="88"/>
      <c r="U68" s="88"/>
      <c r="V68" s="88"/>
      <c r="W68" s="88"/>
      <c r="X68" s="88"/>
      <c r="Y68" s="88"/>
      <c r="Z68" s="88"/>
      <c r="AA68" s="88"/>
      <c r="AB68" s="88"/>
    </row>
    <row r="69" spans="1:28" ht="15" hidden="1" customHeight="1">
      <c r="A69" s="80">
        <v>46286</v>
      </c>
      <c r="B69" s="88" t="s">
        <v>1621</v>
      </c>
      <c r="C69" s="88">
        <v>9003141580</v>
      </c>
      <c r="D69" s="88" t="s">
        <v>1622</v>
      </c>
      <c r="E69" s="88" t="s">
        <v>48</v>
      </c>
      <c r="F69" s="88" t="s">
        <v>300</v>
      </c>
      <c r="G69" s="88" t="s">
        <v>33</v>
      </c>
      <c r="H69" s="88" t="s">
        <v>33</v>
      </c>
      <c r="I69" s="88" t="s">
        <v>1623</v>
      </c>
      <c r="J69" s="88"/>
      <c r="K69" s="88"/>
      <c r="L69" s="88" t="s">
        <v>33</v>
      </c>
      <c r="M69" s="88" t="s">
        <v>33</v>
      </c>
      <c r="N69" s="89" t="s">
        <v>33</v>
      </c>
      <c r="O69" s="89" t="s">
        <v>33</v>
      </c>
      <c r="P69" s="88" t="s">
        <v>92</v>
      </c>
      <c r="Q69" s="88" t="s">
        <v>1624</v>
      </c>
      <c r="R69" s="88"/>
      <c r="S69" s="88"/>
      <c r="T69" s="88"/>
      <c r="U69" s="88"/>
      <c r="V69" s="88"/>
      <c r="W69" s="88"/>
      <c r="X69" s="88"/>
      <c r="Y69" s="88"/>
      <c r="Z69" s="88"/>
      <c r="AA69" s="88"/>
      <c r="AB69" s="88"/>
    </row>
    <row r="70" spans="1:28" ht="15" customHeight="1">
      <c r="A70" s="80">
        <v>46286</v>
      </c>
      <c r="B70" s="88" t="s">
        <v>1625</v>
      </c>
      <c r="C70" s="88">
        <v>9566821214</v>
      </c>
      <c r="D70" s="88" t="s">
        <v>1626</v>
      </c>
      <c r="E70" s="88" t="s">
        <v>25</v>
      </c>
      <c r="F70" s="88" t="s">
        <v>33</v>
      </c>
      <c r="G70" s="88" t="s">
        <v>33</v>
      </c>
      <c r="H70" s="88" t="s">
        <v>33</v>
      </c>
      <c r="I70" s="88" t="s">
        <v>1627</v>
      </c>
      <c r="J70" s="88"/>
      <c r="K70" s="88"/>
      <c r="L70" s="88" t="s">
        <v>33</v>
      </c>
      <c r="M70" s="88" t="s">
        <v>33</v>
      </c>
      <c r="N70" s="89" t="s">
        <v>33</v>
      </c>
      <c r="O70" s="89" t="s">
        <v>33</v>
      </c>
      <c r="P70" s="88" t="s">
        <v>540</v>
      </c>
      <c r="Q70" s="88" t="s">
        <v>1628</v>
      </c>
      <c r="R70" s="88" t="s">
        <v>1629</v>
      </c>
      <c r="S70" s="89" t="s">
        <v>33</v>
      </c>
      <c r="T70" s="88"/>
      <c r="U70" s="88"/>
      <c r="V70" s="88"/>
      <c r="W70" s="88"/>
      <c r="X70" s="88"/>
      <c r="Y70" s="88"/>
      <c r="Z70" s="88"/>
      <c r="AA70" s="88"/>
      <c r="AB70" s="88"/>
    </row>
    <row r="71" spans="1:28" ht="15" hidden="1" customHeight="1">
      <c r="A71" s="80">
        <v>46286</v>
      </c>
      <c r="B71" s="88" t="s">
        <v>1630</v>
      </c>
      <c r="C71" s="88">
        <v>9840130089</v>
      </c>
      <c r="D71" s="88" t="s">
        <v>1631</v>
      </c>
      <c r="E71" s="88" t="s">
        <v>48</v>
      </c>
      <c r="F71" s="88" t="s">
        <v>33</v>
      </c>
      <c r="G71" s="88" t="s">
        <v>37</v>
      </c>
      <c r="H71" s="88"/>
      <c r="I71" s="88"/>
      <c r="J71" s="88"/>
      <c r="K71" s="88"/>
      <c r="L71" s="88" t="s">
        <v>33</v>
      </c>
      <c r="M71" s="88" t="s">
        <v>33</v>
      </c>
      <c r="N71" s="89" t="s">
        <v>33</v>
      </c>
      <c r="O71" s="89" t="s">
        <v>33</v>
      </c>
      <c r="P71" s="88"/>
      <c r="Q71" s="88"/>
      <c r="R71" s="88"/>
      <c r="S71" s="88"/>
      <c r="T71" s="88"/>
      <c r="U71" s="88"/>
      <c r="V71" s="88"/>
      <c r="W71" s="88"/>
      <c r="X71" s="88"/>
      <c r="Y71" s="88"/>
      <c r="Z71" s="88"/>
      <c r="AA71" s="88"/>
      <c r="AB71" s="88"/>
    </row>
    <row r="72" spans="1:28" ht="15" customHeight="1">
      <c r="A72" s="80">
        <v>46286</v>
      </c>
      <c r="B72" s="88" t="s">
        <v>1632</v>
      </c>
      <c r="C72" s="88">
        <v>9003523880</v>
      </c>
      <c r="D72" s="88" t="s">
        <v>1633</v>
      </c>
      <c r="E72" s="88" t="s">
        <v>319</v>
      </c>
      <c r="F72" s="88" t="s">
        <v>33</v>
      </c>
      <c r="G72" s="88" t="s">
        <v>33</v>
      </c>
      <c r="H72" s="88"/>
      <c r="I72" s="88"/>
      <c r="J72" s="88"/>
      <c r="K72" s="88"/>
      <c r="L72" s="88" t="s">
        <v>33</v>
      </c>
      <c r="M72" s="88" t="s">
        <v>33</v>
      </c>
      <c r="N72" s="89" t="s">
        <v>33</v>
      </c>
      <c r="O72" s="89" t="s">
        <v>33</v>
      </c>
      <c r="P72" s="88"/>
      <c r="Q72" s="88"/>
      <c r="R72" s="88" t="s">
        <v>1634</v>
      </c>
      <c r="S72" s="89" t="s">
        <v>33</v>
      </c>
      <c r="T72" s="88"/>
      <c r="U72" s="88"/>
      <c r="V72" s="88"/>
      <c r="W72" s="88"/>
      <c r="X72" s="88" t="s">
        <v>33</v>
      </c>
      <c r="Y72" s="88"/>
      <c r="Z72" s="88" t="s">
        <v>33</v>
      </c>
      <c r="AA72" s="88" t="s">
        <v>33</v>
      </c>
      <c r="AB72" s="88"/>
    </row>
    <row r="73" spans="1:28" ht="15" hidden="1" customHeight="1">
      <c r="A73" s="80">
        <v>46287</v>
      </c>
      <c r="B73" s="88" t="s">
        <v>1635</v>
      </c>
      <c r="C73" s="88">
        <v>9884571430</v>
      </c>
      <c r="D73" s="88" t="s">
        <v>1636</v>
      </c>
      <c r="E73" s="88" t="s">
        <v>25</v>
      </c>
      <c r="F73" s="88" t="s">
        <v>33</v>
      </c>
      <c r="G73" s="88" t="s">
        <v>37</v>
      </c>
      <c r="H73" s="88" t="s">
        <v>33</v>
      </c>
      <c r="I73" s="88" t="s">
        <v>1637</v>
      </c>
      <c r="J73" s="88"/>
      <c r="K73" s="88"/>
      <c r="L73" s="88" t="s">
        <v>33</v>
      </c>
      <c r="M73" s="88" t="s">
        <v>33</v>
      </c>
      <c r="N73" s="89" t="s">
        <v>33</v>
      </c>
      <c r="O73" s="89" t="s">
        <v>33</v>
      </c>
      <c r="P73" s="88" t="s">
        <v>1583</v>
      </c>
      <c r="Q73" s="88" t="s">
        <v>1638</v>
      </c>
      <c r="R73" s="88" t="s">
        <v>1639</v>
      </c>
      <c r="S73" s="88" t="s">
        <v>33</v>
      </c>
      <c r="T73" s="88"/>
      <c r="U73" s="88"/>
      <c r="V73" s="88"/>
      <c r="W73" s="88"/>
      <c r="X73" s="88"/>
      <c r="Y73" s="88"/>
      <c r="Z73" s="88"/>
      <c r="AA73" s="88"/>
      <c r="AB73" s="88"/>
    </row>
    <row r="74" spans="1:28" ht="15" hidden="1" customHeight="1">
      <c r="A74" s="80">
        <v>46287</v>
      </c>
      <c r="B74" s="88" t="s">
        <v>30</v>
      </c>
      <c r="C74" s="88">
        <v>8105047843</v>
      </c>
      <c r="D74" s="88" t="s">
        <v>31</v>
      </c>
      <c r="E74" s="88" t="s">
        <v>246</v>
      </c>
      <c r="F74" s="88" t="s">
        <v>33</v>
      </c>
      <c r="G74" s="88" t="s">
        <v>37</v>
      </c>
      <c r="H74" s="88"/>
      <c r="I74" s="88"/>
      <c r="J74" s="88"/>
      <c r="K74" s="88"/>
      <c r="L74" s="88" t="s">
        <v>33</v>
      </c>
      <c r="M74" s="88" t="s">
        <v>33</v>
      </c>
      <c r="N74" s="89" t="s">
        <v>33</v>
      </c>
      <c r="O74" s="89" t="s">
        <v>33</v>
      </c>
      <c r="P74" s="88"/>
      <c r="Q74" s="88"/>
      <c r="R74" s="88" t="s">
        <v>289</v>
      </c>
      <c r="S74" s="89" t="s">
        <v>33</v>
      </c>
      <c r="T74" s="88"/>
      <c r="U74" s="88"/>
      <c r="V74" s="88"/>
      <c r="W74" s="88"/>
      <c r="X74" s="88"/>
      <c r="Y74" s="88"/>
      <c r="Z74" s="88"/>
      <c r="AA74" s="88"/>
      <c r="AB74" s="88"/>
    </row>
    <row r="75" spans="1:28" ht="15" customHeight="1">
      <c r="A75" s="80">
        <v>46287</v>
      </c>
      <c r="B75" s="88" t="s">
        <v>1640</v>
      </c>
      <c r="C75" s="88">
        <v>9841956549</v>
      </c>
      <c r="D75" s="88" t="s">
        <v>1641</v>
      </c>
      <c r="E75" s="88" t="s">
        <v>25</v>
      </c>
      <c r="F75" s="88" t="s">
        <v>33</v>
      </c>
      <c r="G75" s="88" t="s">
        <v>33</v>
      </c>
      <c r="H75" s="88"/>
      <c r="I75" s="88"/>
      <c r="J75" s="88"/>
      <c r="K75" s="88"/>
      <c r="L75" s="88" t="s">
        <v>33</v>
      </c>
      <c r="M75" s="88" t="s">
        <v>33</v>
      </c>
      <c r="N75" s="89" t="s">
        <v>33</v>
      </c>
      <c r="O75" s="89" t="s">
        <v>33</v>
      </c>
      <c r="P75" s="88" t="s">
        <v>1642</v>
      </c>
      <c r="Q75" s="88" t="s">
        <v>1643</v>
      </c>
      <c r="R75" s="88" t="s">
        <v>1644</v>
      </c>
      <c r="S75" s="88" t="s">
        <v>33</v>
      </c>
      <c r="T75" s="88"/>
      <c r="U75" s="88"/>
      <c r="V75" s="88"/>
      <c r="W75" s="88"/>
      <c r="X75" s="88"/>
      <c r="Y75" s="88"/>
      <c r="Z75" s="88"/>
      <c r="AA75" s="88"/>
      <c r="AB75" s="88"/>
    </row>
    <row r="76" spans="1:28" ht="15" customHeight="1">
      <c r="A76" s="80">
        <v>46288</v>
      </c>
      <c r="B76" s="88" t="s">
        <v>1645</v>
      </c>
      <c r="C76" s="88">
        <v>9900520237</v>
      </c>
      <c r="D76" s="88" t="s">
        <v>1646</v>
      </c>
      <c r="E76" s="88" t="s">
        <v>48</v>
      </c>
      <c r="F76" s="88" t="s">
        <v>33</v>
      </c>
      <c r="G76" s="88" t="s">
        <v>33</v>
      </c>
      <c r="H76" s="88" t="s">
        <v>33</v>
      </c>
      <c r="I76" s="88" t="s">
        <v>1422</v>
      </c>
      <c r="J76" s="88" t="s">
        <v>33</v>
      </c>
      <c r="K76" s="88" t="s">
        <v>1647</v>
      </c>
      <c r="L76" s="88" t="s">
        <v>33</v>
      </c>
      <c r="M76" s="88" t="s">
        <v>33</v>
      </c>
      <c r="N76" s="89" t="s">
        <v>33</v>
      </c>
      <c r="O76" s="89" t="s">
        <v>33</v>
      </c>
      <c r="P76" s="88" t="s">
        <v>211</v>
      </c>
      <c r="Q76" s="88" t="s">
        <v>449</v>
      </c>
      <c r="R76" s="88" t="s">
        <v>1648</v>
      </c>
      <c r="S76" s="89" t="s">
        <v>33</v>
      </c>
      <c r="T76" s="88"/>
      <c r="U76" s="88"/>
      <c r="V76" s="88"/>
      <c r="W76" s="88"/>
      <c r="X76" s="88"/>
      <c r="Y76" s="88"/>
      <c r="Z76" s="88"/>
      <c r="AA76" s="88"/>
      <c r="AB76" s="88"/>
    </row>
    <row r="77" spans="1:28" ht="15" hidden="1" customHeight="1">
      <c r="A77" s="80">
        <v>46288</v>
      </c>
      <c r="B77" s="88" t="s">
        <v>1649</v>
      </c>
      <c r="C77" s="88">
        <v>7299926310</v>
      </c>
      <c r="D77" s="88" t="s">
        <v>1650</v>
      </c>
      <c r="E77" s="88" t="s">
        <v>48</v>
      </c>
      <c r="F77" s="88" t="s">
        <v>33</v>
      </c>
      <c r="G77" s="88" t="s">
        <v>37</v>
      </c>
      <c r="H77" s="88" t="s">
        <v>33</v>
      </c>
      <c r="I77" s="88" t="s">
        <v>1651</v>
      </c>
      <c r="J77" s="88"/>
      <c r="K77" s="88"/>
      <c r="L77" s="88" t="s">
        <v>33</v>
      </c>
      <c r="M77" s="88" t="s">
        <v>33</v>
      </c>
      <c r="N77" s="89" t="s">
        <v>33</v>
      </c>
      <c r="O77" s="89" t="s">
        <v>33</v>
      </c>
      <c r="P77" s="88" t="s">
        <v>1652</v>
      </c>
      <c r="Q77" s="88" t="s">
        <v>1653</v>
      </c>
      <c r="R77" s="88" t="s">
        <v>1654</v>
      </c>
      <c r="S77" s="88" t="s">
        <v>33</v>
      </c>
      <c r="T77" s="88"/>
      <c r="U77" s="88"/>
      <c r="V77" s="88"/>
      <c r="W77" s="88"/>
      <c r="X77" s="88"/>
      <c r="Y77" s="88"/>
      <c r="Z77" s="88"/>
      <c r="AA77" s="88"/>
      <c r="AB77" s="88"/>
    </row>
    <row r="78" spans="1:28" ht="15" hidden="1" customHeight="1">
      <c r="A78" s="80">
        <v>46288</v>
      </c>
      <c r="B78" s="88" t="s">
        <v>1655</v>
      </c>
      <c r="C78" s="88">
        <v>9176658923</v>
      </c>
      <c r="D78" s="88" t="s">
        <v>1656</v>
      </c>
      <c r="E78" s="88" t="s">
        <v>25</v>
      </c>
      <c r="F78" s="88" t="s">
        <v>33</v>
      </c>
      <c r="G78" s="88" t="s">
        <v>33</v>
      </c>
      <c r="H78" s="88"/>
      <c r="I78" s="88"/>
      <c r="J78" s="88"/>
      <c r="K78" s="88"/>
      <c r="L78" s="88" t="s">
        <v>33</v>
      </c>
      <c r="M78" s="88" t="s">
        <v>33</v>
      </c>
      <c r="N78" s="89" t="s">
        <v>33</v>
      </c>
      <c r="O78" s="89" t="s">
        <v>33</v>
      </c>
      <c r="P78" s="88"/>
      <c r="Q78" s="88"/>
      <c r="R78" s="88"/>
      <c r="S78" s="88"/>
      <c r="T78" s="88"/>
      <c r="U78" s="88"/>
      <c r="V78" s="88"/>
      <c r="W78" s="88"/>
      <c r="X78" s="88"/>
      <c r="Y78" s="88"/>
      <c r="Z78" s="88"/>
      <c r="AA78" s="88"/>
      <c r="AB78" s="88"/>
    </row>
    <row r="79" spans="1:28" ht="15" hidden="1" customHeight="1">
      <c r="A79" s="80">
        <v>46288</v>
      </c>
      <c r="B79" s="88" t="s">
        <v>1578</v>
      </c>
      <c r="C79" s="88">
        <v>9884893435</v>
      </c>
      <c r="D79" s="88" t="s">
        <v>1579</v>
      </c>
      <c r="E79" s="88" t="s">
        <v>86</v>
      </c>
      <c r="F79" s="88" t="s">
        <v>33</v>
      </c>
      <c r="G79" s="88" t="s">
        <v>33</v>
      </c>
      <c r="H79" s="88" t="s">
        <v>33</v>
      </c>
      <c r="I79" s="88" t="s">
        <v>1580</v>
      </c>
      <c r="J79" s="88"/>
      <c r="K79" s="88"/>
      <c r="L79" s="88" t="s">
        <v>33</v>
      </c>
      <c r="M79" s="88" t="s">
        <v>33</v>
      </c>
      <c r="N79" s="89" t="s">
        <v>33</v>
      </c>
      <c r="O79" s="89" t="s">
        <v>33</v>
      </c>
      <c r="P79" s="88" t="s">
        <v>163</v>
      </c>
      <c r="Q79" s="88" t="s">
        <v>320</v>
      </c>
      <c r="R79" s="88"/>
      <c r="S79" s="88"/>
      <c r="T79" s="88"/>
      <c r="U79" s="88"/>
      <c r="V79" s="88"/>
      <c r="W79" s="88"/>
      <c r="X79" s="88"/>
      <c r="Y79" s="88"/>
      <c r="Z79" s="88"/>
      <c r="AA79" s="88"/>
      <c r="AB79" s="88"/>
    </row>
    <row r="80" spans="1:28" ht="15" customHeight="1">
      <c r="A80" s="80">
        <v>46289</v>
      </c>
      <c r="B80" s="88" t="s">
        <v>1657</v>
      </c>
      <c r="C80" s="88">
        <v>9884295566</v>
      </c>
      <c r="D80" s="88" t="s">
        <v>1658</v>
      </c>
      <c r="E80" s="88" t="s">
        <v>25</v>
      </c>
      <c r="F80" s="88" t="s">
        <v>33</v>
      </c>
      <c r="G80" s="88" t="s">
        <v>33</v>
      </c>
      <c r="H80" s="88" t="s">
        <v>33</v>
      </c>
      <c r="I80" s="88" t="s">
        <v>1422</v>
      </c>
      <c r="J80" s="88"/>
      <c r="K80" s="88"/>
      <c r="L80" s="88" t="s">
        <v>33</v>
      </c>
      <c r="M80" s="88" t="s">
        <v>33</v>
      </c>
      <c r="N80" s="89" t="s">
        <v>33</v>
      </c>
      <c r="O80" s="89" t="s">
        <v>33</v>
      </c>
      <c r="P80" s="88" t="s">
        <v>1659</v>
      </c>
      <c r="Q80" s="88" t="s">
        <v>1660</v>
      </c>
      <c r="R80" s="88" t="s">
        <v>1661</v>
      </c>
      <c r="S80" s="89" t="s">
        <v>33</v>
      </c>
      <c r="T80" s="88"/>
      <c r="U80" s="88"/>
      <c r="V80" s="88"/>
      <c r="W80" s="88"/>
      <c r="X80" s="88"/>
      <c r="Y80" s="88"/>
      <c r="Z80" s="88"/>
      <c r="AA80" s="88"/>
      <c r="AB80" s="88"/>
    </row>
    <row r="81" spans="1:28" ht="15" customHeight="1">
      <c r="A81" s="80">
        <v>46289</v>
      </c>
      <c r="B81" s="88" t="s">
        <v>1662</v>
      </c>
      <c r="C81" s="88">
        <v>9940080106</v>
      </c>
      <c r="D81" s="88" t="s">
        <v>1663</v>
      </c>
      <c r="E81" s="88" t="s">
        <v>43</v>
      </c>
      <c r="F81" s="88" t="s">
        <v>33</v>
      </c>
      <c r="G81" s="88" t="s">
        <v>33</v>
      </c>
      <c r="H81" s="88"/>
      <c r="I81" s="88"/>
      <c r="J81" s="88"/>
      <c r="K81" s="88"/>
      <c r="L81" s="88" t="s">
        <v>33</v>
      </c>
      <c r="M81" s="88" t="s">
        <v>33</v>
      </c>
      <c r="N81" s="89" t="s">
        <v>33</v>
      </c>
      <c r="O81" s="89" t="s">
        <v>33</v>
      </c>
      <c r="P81" s="88"/>
      <c r="Q81" s="88"/>
      <c r="R81" s="88" t="s">
        <v>1664</v>
      </c>
      <c r="S81" s="88" t="s">
        <v>33</v>
      </c>
      <c r="T81" s="88"/>
      <c r="U81" s="88"/>
      <c r="V81" s="88"/>
      <c r="W81" s="88"/>
      <c r="X81" s="88"/>
      <c r="Y81" s="88"/>
      <c r="Z81" s="88"/>
      <c r="AA81" s="88"/>
      <c r="AB81" s="88"/>
    </row>
    <row r="82" spans="1:28" ht="15" customHeight="1">
      <c r="A82" s="80">
        <v>46289</v>
      </c>
      <c r="B82" s="88" t="s">
        <v>1665</v>
      </c>
      <c r="C82" s="88">
        <v>9884428593</v>
      </c>
      <c r="D82" s="88" t="s">
        <v>1666</v>
      </c>
      <c r="E82" s="88" t="s">
        <v>251</v>
      </c>
      <c r="F82" s="88" t="s">
        <v>33</v>
      </c>
      <c r="G82" s="88" t="s">
        <v>33</v>
      </c>
      <c r="H82" s="88" t="s">
        <v>33</v>
      </c>
      <c r="I82" s="88" t="s">
        <v>67</v>
      </c>
      <c r="J82" s="88"/>
      <c r="K82" s="88"/>
      <c r="L82" s="88" t="s">
        <v>33</v>
      </c>
      <c r="M82" s="88" t="s">
        <v>33</v>
      </c>
      <c r="N82" s="89" t="s">
        <v>33</v>
      </c>
      <c r="O82" s="89" t="s">
        <v>33</v>
      </c>
      <c r="P82" s="88" t="s">
        <v>1583</v>
      </c>
      <c r="Q82" s="88" t="s">
        <v>1667</v>
      </c>
      <c r="R82" s="88" t="s">
        <v>1668</v>
      </c>
      <c r="S82" s="88" t="s">
        <v>33</v>
      </c>
      <c r="T82" s="88"/>
      <c r="U82" s="88"/>
      <c r="V82" s="88"/>
      <c r="W82" s="88"/>
      <c r="X82" s="88"/>
      <c r="Y82" s="88"/>
      <c r="Z82" s="88"/>
      <c r="AA82" s="88"/>
      <c r="AB82" s="88"/>
    </row>
    <row r="83" spans="1:28" ht="15" hidden="1" customHeight="1">
      <c r="A83" s="80">
        <v>46289</v>
      </c>
      <c r="B83" s="88" t="s">
        <v>1669</v>
      </c>
      <c r="C83" s="88">
        <v>8056001405</v>
      </c>
      <c r="D83" s="88" t="s">
        <v>1670</v>
      </c>
      <c r="E83" s="88" t="s">
        <v>43</v>
      </c>
      <c r="F83" s="88" t="s">
        <v>33</v>
      </c>
      <c r="G83" s="88" t="s">
        <v>37</v>
      </c>
      <c r="H83" s="88"/>
      <c r="I83" s="88"/>
      <c r="J83" s="88"/>
      <c r="K83" s="88"/>
      <c r="L83" s="88" t="s">
        <v>33</v>
      </c>
      <c r="M83" s="88" t="s">
        <v>33</v>
      </c>
      <c r="N83" s="89" t="s">
        <v>33</v>
      </c>
      <c r="O83" s="89" t="s">
        <v>33</v>
      </c>
      <c r="P83" s="88" t="s">
        <v>1671</v>
      </c>
      <c r="Q83" s="88" t="s">
        <v>1210</v>
      </c>
      <c r="R83" s="88" t="s">
        <v>1672</v>
      </c>
      <c r="S83" s="89" t="s">
        <v>33</v>
      </c>
      <c r="T83" s="88"/>
      <c r="U83" s="88" t="s">
        <v>33</v>
      </c>
      <c r="V83" s="88"/>
      <c r="W83" s="88" t="s">
        <v>33</v>
      </c>
      <c r="X83" s="88"/>
      <c r="Y83" s="88"/>
      <c r="Z83" s="88"/>
      <c r="AA83" s="88"/>
      <c r="AB83" s="88"/>
    </row>
    <row r="84" spans="1:28" ht="15" customHeight="1">
      <c r="A84" s="80">
        <v>46290</v>
      </c>
      <c r="B84" s="88" t="s">
        <v>1611</v>
      </c>
      <c r="C84" s="88">
        <v>9790961418</v>
      </c>
      <c r="D84" s="88" t="s">
        <v>1612</v>
      </c>
      <c r="E84" s="88" t="s">
        <v>25</v>
      </c>
      <c r="F84" s="88" t="s">
        <v>62</v>
      </c>
      <c r="G84" s="88" t="s">
        <v>33</v>
      </c>
      <c r="H84" s="88" t="s">
        <v>33</v>
      </c>
      <c r="I84" s="88" t="s">
        <v>1673</v>
      </c>
      <c r="J84" s="88"/>
      <c r="K84" s="88"/>
      <c r="L84" s="88" t="s">
        <v>33</v>
      </c>
      <c r="M84" s="88" t="s">
        <v>33</v>
      </c>
      <c r="N84" s="89" t="s">
        <v>33</v>
      </c>
      <c r="O84" s="89" t="s">
        <v>33</v>
      </c>
      <c r="P84" s="88" t="s">
        <v>1674</v>
      </c>
      <c r="Q84" s="88" t="s">
        <v>1675</v>
      </c>
      <c r="R84" s="88" t="s">
        <v>1613</v>
      </c>
      <c r="S84" s="88" t="s">
        <v>33</v>
      </c>
      <c r="T84" s="88"/>
      <c r="U84" s="88"/>
      <c r="V84" s="88"/>
      <c r="W84" s="88"/>
      <c r="X84" s="88"/>
      <c r="Y84" s="88"/>
      <c r="Z84" s="88"/>
      <c r="AA84" s="88"/>
      <c r="AB84" s="88"/>
    </row>
    <row r="85" spans="1:28" ht="15" hidden="1" customHeight="1">
      <c r="A85" s="80">
        <v>46290</v>
      </c>
      <c r="B85" s="88" t="s">
        <v>1676</v>
      </c>
      <c r="C85" s="88">
        <v>9738837805</v>
      </c>
      <c r="D85" s="88" t="s">
        <v>1677</v>
      </c>
      <c r="E85" s="88" t="s">
        <v>25</v>
      </c>
      <c r="F85" s="88" t="s">
        <v>33</v>
      </c>
      <c r="G85" s="88" t="s">
        <v>33</v>
      </c>
      <c r="H85" s="88"/>
      <c r="I85" s="88"/>
      <c r="J85" s="88"/>
      <c r="K85" s="88"/>
      <c r="L85" s="88" t="s">
        <v>33</v>
      </c>
      <c r="M85" s="88" t="s">
        <v>33</v>
      </c>
      <c r="N85" s="89" t="s">
        <v>33</v>
      </c>
      <c r="O85" s="89" t="s">
        <v>33</v>
      </c>
      <c r="P85" s="88"/>
      <c r="Q85" s="88"/>
      <c r="R85" s="88"/>
      <c r="S85" s="88"/>
      <c r="T85" s="88"/>
      <c r="U85" s="88"/>
      <c r="V85" s="88"/>
      <c r="W85" s="88"/>
      <c r="X85" s="88"/>
      <c r="Y85" s="88"/>
      <c r="Z85" s="88"/>
      <c r="AA85" s="88"/>
      <c r="AB85" s="88"/>
    </row>
    <row r="86" spans="1:28" ht="15" customHeight="1">
      <c r="A86" s="80">
        <v>46290</v>
      </c>
      <c r="B86" s="88" t="s">
        <v>1678</v>
      </c>
      <c r="C86" s="88">
        <v>8754654446</v>
      </c>
      <c r="D86" s="88" t="s">
        <v>1679</v>
      </c>
      <c r="E86" s="88" t="s">
        <v>25</v>
      </c>
      <c r="F86" s="88" t="s">
        <v>33</v>
      </c>
      <c r="G86" s="88" t="s">
        <v>33</v>
      </c>
      <c r="H86" s="88"/>
      <c r="I86" s="88"/>
      <c r="J86" s="88"/>
      <c r="K86" s="88"/>
      <c r="L86" s="88" t="s">
        <v>33</v>
      </c>
      <c r="M86" s="88" t="s">
        <v>33</v>
      </c>
      <c r="N86" s="89" t="s">
        <v>33</v>
      </c>
      <c r="O86" s="89" t="s">
        <v>33</v>
      </c>
      <c r="P86" s="88"/>
      <c r="Q86" s="88"/>
      <c r="R86" s="88" t="s">
        <v>1680</v>
      </c>
      <c r="S86" s="88" t="s">
        <v>33</v>
      </c>
      <c r="T86" s="88"/>
      <c r="U86" s="88"/>
      <c r="V86" s="88"/>
      <c r="W86" s="88"/>
      <c r="X86" s="88"/>
      <c r="Y86" s="88"/>
      <c r="Z86" s="88"/>
      <c r="AA86" s="88"/>
      <c r="AB86" s="88"/>
    </row>
    <row r="87" spans="1:28" ht="15" customHeight="1">
      <c r="A87" s="92">
        <v>46293</v>
      </c>
      <c r="B87" s="88" t="s">
        <v>1681</v>
      </c>
      <c r="C87" s="88">
        <v>7358009915</v>
      </c>
      <c r="D87" s="88" t="s">
        <v>1682</v>
      </c>
      <c r="E87" s="88" t="s">
        <v>25</v>
      </c>
      <c r="F87" s="88" t="s">
        <v>33</v>
      </c>
      <c r="G87" s="88" t="s">
        <v>33</v>
      </c>
      <c r="H87" s="88"/>
      <c r="I87" s="88"/>
      <c r="J87" s="88"/>
      <c r="K87" s="88"/>
      <c r="L87" s="88" t="s">
        <v>33</v>
      </c>
      <c r="M87" s="88" t="s">
        <v>33</v>
      </c>
      <c r="N87" s="89" t="s">
        <v>33</v>
      </c>
      <c r="O87" s="89" t="s">
        <v>33</v>
      </c>
      <c r="P87" s="88"/>
      <c r="Q87" s="88"/>
      <c r="R87" s="88" t="s">
        <v>1683</v>
      </c>
      <c r="S87" s="88" t="s">
        <v>33</v>
      </c>
      <c r="T87" s="88"/>
      <c r="U87" s="88"/>
      <c r="V87" s="88"/>
      <c r="W87" s="88"/>
      <c r="X87" s="88"/>
      <c r="Y87" s="88"/>
      <c r="Z87" s="88"/>
      <c r="AA87" s="88"/>
      <c r="AB87" s="88"/>
    </row>
    <row r="88" spans="1:28" ht="15" hidden="1" customHeight="1">
      <c r="A88" s="92">
        <v>46293</v>
      </c>
      <c r="B88" s="88" t="s">
        <v>1684</v>
      </c>
      <c r="C88" s="88">
        <v>7339516641</v>
      </c>
      <c r="D88" s="88" t="s">
        <v>1685</v>
      </c>
      <c r="E88" s="88" t="s">
        <v>48</v>
      </c>
      <c r="F88" s="88" t="s">
        <v>33</v>
      </c>
      <c r="G88" s="88" t="s">
        <v>33</v>
      </c>
      <c r="H88" s="88"/>
      <c r="I88" s="88"/>
      <c r="J88" s="88"/>
      <c r="K88" s="88"/>
      <c r="L88" s="88" t="s">
        <v>33</v>
      </c>
      <c r="M88" s="88" t="s">
        <v>33</v>
      </c>
      <c r="N88" s="89" t="s">
        <v>33</v>
      </c>
      <c r="O88" s="89" t="s">
        <v>33</v>
      </c>
      <c r="P88" s="88"/>
      <c r="Q88" s="88"/>
      <c r="R88" s="88"/>
      <c r="S88" s="88"/>
      <c r="T88" s="88"/>
      <c r="U88" s="88"/>
      <c r="V88" s="88"/>
      <c r="W88" s="88"/>
      <c r="X88" s="88"/>
      <c r="Y88" s="88"/>
      <c r="Z88" s="88"/>
      <c r="AA88" s="88"/>
      <c r="AB88" s="88"/>
    </row>
    <row r="89" spans="1:28" ht="15" hidden="1" customHeight="1">
      <c r="A89" s="92">
        <v>46293</v>
      </c>
      <c r="B89" s="88" t="s">
        <v>1686</v>
      </c>
      <c r="C89" s="88">
        <v>9944448969</v>
      </c>
      <c r="D89" s="88" t="s">
        <v>1687</v>
      </c>
      <c r="E89" s="88" t="s">
        <v>25</v>
      </c>
      <c r="F89" s="88" t="s">
        <v>62</v>
      </c>
      <c r="G89" s="88" t="s">
        <v>33</v>
      </c>
      <c r="H89" s="88"/>
      <c r="I89" s="88"/>
      <c r="J89" s="88"/>
      <c r="K89" s="88"/>
      <c r="L89" s="88" t="s">
        <v>33</v>
      </c>
      <c r="M89" s="88" t="s">
        <v>33</v>
      </c>
      <c r="N89" s="89" t="s">
        <v>33</v>
      </c>
      <c r="O89" s="89" t="s">
        <v>33</v>
      </c>
      <c r="P89" s="88"/>
      <c r="Q89" s="88"/>
      <c r="R89" s="88"/>
      <c r="S89" s="88"/>
      <c r="T89" s="88"/>
      <c r="U89" s="88"/>
      <c r="V89" s="88"/>
      <c r="W89" s="88"/>
      <c r="X89" s="88"/>
      <c r="Y89" s="88"/>
      <c r="Z89" s="88"/>
      <c r="AA89" s="88"/>
      <c r="AB89" s="88"/>
    </row>
    <row r="90" spans="1:28" ht="15" customHeight="1">
      <c r="A90" s="92">
        <v>46293</v>
      </c>
      <c r="B90" s="88" t="s">
        <v>1557</v>
      </c>
      <c r="C90" s="88">
        <v>8883069431</v>
      </c>
      <c r="D90" s="88" t="s">
        <v>1535</v>
      </c>
      <c r="E90" s="88" t="s">
        <v>25</v>
      </c>
      <c r="F90" s="88" t="s">
        <v>33</v>
      </c>
      <c r="G90" s="88" t="s">
        <v>33</v>
      </c>
      <c r="H90" s="88" t="s">
        <v>33</v>
      </c>
      <c r="I90" s="96" t="s">
        <v>482</v>
      </c>
      <c r="J90" s="88"/>
      <c r="K90" s="88"/>
      <c r="L90" s="88" t="s">
        <v>33</v>
      </c>
      <c r="M90" s="88" t="s">
        <v>33</v>
      </c>
      <c r="N90" s="89" t="s">
        <v>33</v>
      </c>
      <c r="O90" s="89" t="s">
        <v>33</v>
      </c>
      <c r="P90" s="96" t="s">
        <v>1536</v>
      </c>
      <c r="Q90" s="96" t="s">
        <v>1537</v>
      </c>
      <c r="R90" s="88" t="s">
        <v>1538</v>
      </c>
      <c r="S90" s="88" t="s">
        <v>33</v>
      </c>
      <c r="T90" s="88"/>
      <c r="U90" s="88"/>
      <c r="V90" s="88"/>
      <c r="W90" s="88"/>
      <c r="X90" s="88"/>
      <c r="Y90" s="88"/>
      <c r="Z90" s="88"/>
      <c r="AA90" s="88"/>
      <c r="AB90" s="88"/>
    </row>
    <row r="91" spans="1:28" ht="15" hidden="1" customHeight="1">
      <c r="A91" s="92">
        <v>46294</v>
      </c>
      <c r="B91" s="88" t="s">
        <v>1688</v>
      </c>
      <c r="C91" s="88">
        <v>8332899321</v>
      </c>
      <c r="D91" s="95" t="s">
        <v>1689</v>
      </c>
      <c r="E91" s="93" t="s">
        <v>251</v>
      </c>
      <c r="F91" s="88" t="s">
        <v>62</v>
      </c>
      <c r="G91" s="88" t="s">
        <v>37</v>
      </c>
      <c r="H91" s="88" t="s">
        <v>33</v>
      </c>
      <c r="I91" s="39" t="s">
        <v>1422</v>
      </c>
      <c r="J91" s="88" t="s">
        <v>33</v>
      </c>
      <c r="K91" s="88" t="s">
        <v>304</v>
      </c>
      <c r="L91" s="88" t="s">
        <v>33</v>
      </c>
      <c r="M91" s="88" t="s">
        <v>33</v>
      </c>
      <c r="N91" s="89" t="s">
        <v>33</v>
      </c>
      <c r="O91" s="89" t="s">
        <v>33</v>
      </c>
      <c r="P91" s="39" t="s">
        <v>1690</v>
      </c>
      <c r="Q91" s="39" t="s">
        <v>1691</v>
      </c>
      <c r="R91" s="88"/>
      <c r="S91" s="88"/>
      <c r="T91" s="88"/>
      <c r="U91" s="88"/>
      <c r="V91" s="88"/>
      <c r="W91" s="88"/>
      <c r="X91" s="88"/>
      <c r="Y91" s="88"/>
      <c r="Z91" s="88"/>
      <c r="AA91" s="88"/>
      <c r="AB91" s="88"/>
    </row>
    <row r="92" spans="1:28" ht="15" hidden="1" customHeight="1">
      <c r="A92" s="92">
        <v>46294</v>
      </c>
      <c r="B92" s="88" t="s">
        <v>1692</v>
      </c>
      <c r="C92" s="88">
        <v>9962260009</v>
      </c>
      <c r="D92" s="88" t="s">
        <v>1693</v>
      </c>
      <c r="E92" s="88" t="s">
        <v>48</v>
      </c>
      <c r="F92" s="88" t="s">
        <v>33</v>
      </c>
      <c r="G92" s="88" t="s">
        <v>37</v>
      </c>
      <c r="H92" s="88"/>
      <c r="I92" s="88"/>
      <c r="J92" s="88"/>
      <c r="K92" s="88"/>
      <c r="L92" s="88" t="s">
        <v>33</v>
      </c>
      <c r="M92" s="88" t="s">
        <v>33</v>
      </c>
      <c r="N92" s="89" t="s">
        <v>33</v>
      </c>
      <c r="O92" s="89" t="s">
        <v>33</v>
      </c>
      <c r="P92" s="88"/>
      <c r="Q92" s="88"/>
      <c r="R92" s="88" t="s">
        <v>1694</v>
      </c>
      <c r="S92" s="89" t="s">
        <v>33</v>
      </c>
      <c r="T92" s="88"/>
      <c r="U92" s="88"/>
      <c r="V92" s="88"/>
      <c r="W92" s="88"/>
      <c r="X92" s="88"/>
      <c r="Y92" s="88"/>
      <c r="Z92" s="88"/>
      <c r="AA92" s="88"/>
      <c r="AB92" s="88"/>
    </row>
    <row r="93" spans="1:28" ht="15" hidden="1" customHeight="1">
      <c r="A93" s="92">
        <v>46294</v>
      </c>
      <c r="B93" s="88" t="s">
        <v>1695</v>
      </c>
      <c r="C93" s="93">
        <v>9345300298</v>
      </c>
      <c r="D93" s="92" t="s">
        <v>1696</v>
      </c>
      <c r="E93" s="88" t="s">
        <v>86</v>
      </c>
      <c r="F93" s="88" t="s">
        <v>33</v>
      </c>
      <c r="G93" s="88" t="s">
        <v>37</v>
      </c>
      <c r="H93" s="88"/>
      <c r="I93" s="88"/>
      <c r="J93" s="88"/>
      <c r="K93" s="88"/>
      <c r="L93" s="88" t="s">
        <v>33</v>
      </c>
      <c r="M93" s="88" t="s">
        <v>33</v>
      </c>
      <c r="N93" s="89" t="s">
        <v>33</v>
      </c>
      <c r="O93" s="89" t="s">
        <v>33</v>
      </c>
      <c r="P93" s="88"/>
      <c r="Q93" s="88"/>
      <c r="R93" s="88" t="s">
        <v>1697</v>
      </c>
      <c r="S93" s="88" t="s">
        <v>33</v>
      </c>
      <c r="T93" s="88"/>
      <c r="U93" s="88"/>
      <c r="V93" s="88"/>
      <c r="W93" s="88"/>
      <c r="X93" s="88"/>
      <c r="Y93" s="88" t="s">
        <v>33</v>
      </c>
      <c r="Z93" s="88"/>
      <c r="AA93" s="88"/>
      <c r="AB93" s="88"/>
    </row>
    <row r="94" spans="1:28" ht="15" customHeight="1">
      <c r="A94" s="92">
        <v>46295</v>
      </c>
      <c r="B94" s="92" t="s">
        <v>1032</v>
      </c>
      <c r="C94" s="93">
        <v>9840269309</v>
      </c>
      <c r="D94" s="92" t="s">
        <v>1033</v>
      </c>
      <c r="E94" s="88" t="s">
        <v>48</v>
      </c>
      <c r="F94" s="88" t="s">
        <v>62</v>
      </c>
      <c r="G94" s="88" t="s">
        <v>33</v>
      </c>
      <c r="H94" s="88"/>
      <c r="I94" s="88"/>
      <c r="J94" s="88"/>
      <c r="K94" s="88"/>
      <c r="L94" s="88" t="s">
        <v>33</v>
      </c>
      <c r="M94" s="88" t="s">
        <v>33</v>
      </c>
      <c r="N94" s="89" t="s">
        <v>33</v>
      </c>
      <c r="O94" s="89" t="s">
        <v>33</v>
      </c>
      <c r="P94" s="88"/>
      <c r="Q94" s="88"/>
      <c r="R94" s="88" t="s">
        <v>1036</v>
      </c>
      <c r="S94" s="89" t="s">
        <v>33</v>
      </c>
      <c r="T94" s="88"/>
      <c r="U94" s="88"/>
      <c r="V94" s="88"/>
      <c r="W94" s="88"/>
      <c r="X94" s="88"/>
      <c r="Y94" s="88"/>
      <c r="Z94" s="88"/>
      <c r="AA94" s="88"/>
      <c r="AB94" s="88"/>
    </row>
    <row r="95" spans="1:28" ht="15" customHeight="1">
      <c r="A95" s="92">
        <v>46295</v>
      </c>
      <c r="B95" s="92" t="s">
        <v>1698</v>
      </c>
      <c r="C95" s="93">
        <v>9840194980</v>
      </c>
      <c r="D95" s="99" t="s">
        <v>1699</v>
      </c>
      <c r="E95" s="88" t="s">
        <v>25</v>
      </c>
      <c r="F95" s="88" t="s">
        <v>33</v>
      </c>
      <c r="G95" s="88" t="s">
        <v>33</v>
      </c>
      <c r="H95" s="88" t="s">
        <v>33</v>
      </c>
      <c r="I95" s="39" t="s">
        <v>1700</v>
      </c>
      <c r="J95" s="88" t="s">
        <v>33</v>
      </c>
      <c r="K95" s="88" t="s">
        <v>1701</v>
      </c>
      <c r="L95" s="88" t="s">
        <v>33</v>
      </c>
      <c r="M95" s="88" t="s">
        <v>33</v>
      </c>
      <c r="N95" s="89" t="s">
        <v>33</v>
      </c>
      <c r="O95" s="89" t="s">
        <v>33</v>
      </c>
      <c r="P95" s="39" t="s">
        <v>256</v>
      </c>
      <c r="Q95" s="39" t="s">
        <v>1702</v>
      </c>
      <c r="R95" s="88" t="s">
        <v>1703</v>
      </c>
      <c r="S95" s="88" t="s">
        <v>33</v>
      </c>
      <c r="T95" s="88"/>
      <c r="U95" s="88"/>
      <c r="V95" s="88"/>
      <c r="W95" s="88"/>
      <c r="X95" s="88"/>
      <c r="Y95" s="88"/>
      <c r="Z95" s="88"/>
      <c r="AA95" s="88"/>
      <c r="AB95" s="88"/>
    </row>
    <row r="96" spans="1:28" ht="15" hidden="1" customHeight="1">
      <c r="A96" s="92">
        <v>46295</v>
      </c>
      <c r="B96" s="99" t="s">
        <v>1704</v>
      </c>
      <c r="C96" s="93">
        <v>9750573309</v>
      </c>
      <c r="D96" s="99" t="s">
        <v>1705</v>
      </c>
      <c r="E96" s="88" t="s">
        <v>48</v>
      </c>
      <c r="F96" s="88" t="s">
        <v>33</v>
      </c>
      <c r="G96" s="88" t="s">
        <v>37</v>
      </c>
      <c r="H96" s="88"/>
      <c r="I96" s="88"/>
      <c r="J96" s="88"/>
      <c r="K96" s="88"/>
      <c r="L96" s="88" t="s">
        <v>33</v>
      </c>
      <c r="M96" s="88" t="s">
        <v>33</v>
      </c>
      <c r="N96" s="89" t="s">
        <v>33</v>
      </c>
      <c r="O96" s="89" t="s">
        <v>33</v>
      </c>
      <c r="P96" s="88"/>
      <c r="Q96" s="88"/>
      <c r="R96" s="88" t="s">
        <v>1036</v>
      </c>
      <c r="S96" s="88" t="s">
        <v>33</v>
      </c>
      <c r="T96" s="88"/>
      <c r="U96" s="88"/>
      <c r="V96" s="88"/>
      <c r="W96" s="88"/>
      <c r="X96" s="88"/>
      <c r="Y96" s="88"/>
      <c r="Z96" s="88"/>
      <c r="AA96" s="88"/>
      <c r="AB96" s="88"/>
    </row>
    <row r="99" spans="1:19" ht="15" customHeight="1">
      <c r="A99" s="79"/>
      <c r="B99" t="s">
        <v>1706</v>
      </c>
      <c r="C99" s="79"/>
      <c r="D99" s="79"/>
      <c r="E99" s="79"/>
      <c r="F99" s="79"/>
      <c r="G99" s="66" t="s">
        <v>1707</v>
      </c>
      <c r="H99" s="79"/>
      <c r="I99" s="66" t="s">
        <v>270</v>
      </c>
      <c r="K99" s="66" t="s">
        <v>13</v>
      </c>
      <c r="L99" s="79"/>
      <c r="M99" s="79"/>
      <c r="N99" s="79"/>
      <c r="O99" s="79"/>
      <c r="P99" s="79"/>
      <c r="Q99" s="79"/>
      <c r="R99" s="66" t="s">
        <v>271</v>
      </c>
      <c r="S99" s="66" t="s">
        <v>272</v>
      </c>
    </row>
    <row r="100" spans="1:19" ht="15" customHeight="1">
      <c r="A100" s="79"/>
      <c r="B100" s="79"/>
      <c r="C100" s="79"/>
      <c r="D100" s="79"/>
      <c r="E100" s="79"/>
      <c r="F100" s="79"/>
      <c r="G100" s="66" t="s">
        <v>1708</v>
      </c>
      <c r="H100" s="79"/>
      <c r="I100" s="86">
        <f>20/67</f>
        <v>0.29850746268656714</v>
      </c>
      <c r="J100" s="79"/>
      <c r="K100" s="86">
        <f>9/67</f>
        <v>0.13432835820895522</v>
      </c>
      <c r="L100" s="79"/>
      <c r="M100" s="79"/>
      <c r="N100" s="79"/>
      <c r="O100" s="79"/>
      <c r="P100" s="79"/>
      <c r="Q100" s="79"/>
      <c r="R100" s="79">
        <v>29</v>
      </c>
      <c r="S100" s="79">
        <v>29</v>
      </c>
    </row>
  </sheetData>
  <autoFilter ref="A29:AB96" xr:uid="{00000000-0009-0000-0000-000008000000}">
    <filterColumn colId="6">
      <filters>
        <filter val="y"/>
      </filters>
    </filterColumn>
    <filterColumn colId="18">
      <customFilters>
        <customFilter operator="notEqual" val=" "/>
      </customFilters>
    </filterColumn>
  </autoFilter>
  <mergeCells count="1">
    <mergeCell ref="A1:E1"/>
  </mergeCells>
  <hyperlinks>
    <hyperlink ref="P32" r:id="rId1" display="https://www.linkedin.com/company/14407852/" xr:uid="{00000000-0004-0000-0800-000000000000}"/>
    <hyperlink ref="Q32" r:id="rId2" display="https://www.linkedin.com/company/14407852/" xr:uid="{00000000-0004-0000-0800-000001000000}"/>
    <hyperlink ref="D33" r:id="rId3" xr:uid="{00000000-0004-0000-0800-000002000000}"/>
    <hyperlink ref="D42" r:id="rId4" xr:uid="{00000000-0004-0000-0800-000003000000}"/>
    <hyperlink ref="D49" r:id="rId5" display="sivakumar.ts@ibm.com" xr:uid="{00000000-0004-0000-0800-000004000000}"/>
    <hyperlink ref="D50" r:id="rId6" xr:uid="{00000000-0004-0000-0800-000005000000}"/>
    <hyperlink ref="D68" r:id="rId7" xr:uid="{00000000-0004-0000-0800-000006000000}"/>
    <hyperlink ref="D72" r:id="rId8" xr:uid="{00000000-0004-0000-0800-000007000000}"/>
    <hyperlink ref="Q83" r:id="rId9" display="https://www.linkedin.com/company/715081/" xr:uid="{00000000-0004-0000-0800-000008000000}"/>
    <hyperlink ref="D84" r:id="rId10" xr:uid="{00000000-0004-0000-0800-000009000000}"/>
    <hyperlink ref="D91" r:id="rId11" xr:uid="{00000000-0004-0000-0800-00000A000000}"/>
  </hyperlinks>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47"/>
  <sheetViews>
    <sheetView tabSelected="1" topLeftCell="F31" workbookViewId="0">
      <selection activeCell="U46" sqref="U46"/>
    </sheetView>
  </sheetViews>
  <sheetFormatPr defaultRowHeight="14.5"/>
  <cols>
    <col min="1" max="1" width="10.7265625" style="44" bestFit="1" customWidth="1"/>
    <col min="2" max="2" width="34.81640625" style="44" bestFit="1" customWidth="1"/>
    <col min="3" max="3" width="12" style="44" bestFit="1" customWidth="1"/>
  </cols>
  <sheetData>
    <row r="1" spans="1:5">
      <c r="A1" s="107" t="s">
        <v>1709</v>
      </c>
      <c r="B1" s="105"/>
      <c r="C1" s="105"/>
      <c r="D1" s="105"/>
      <c r="E1" s="106"/>
    </row>
    <row r="2" spans="1:5">
      <c r="A2" s="103" t="s">
        <v>1</v>
      </c>
      <c r="B2" s="103">
        <v>2093</v>
      </c>
      <c r="C2" s="45">
        <v>2337</v>
      </c>
      <c r="D2" s="103">
        <v>2394</v>
      </c>
      <c r="E2" s="103" t="s">
        <v>2</v>
      </c>
    </row>
    <row r="3" spans="1:5">
      <c r="A3" s="80">
        <v>46296</v>
      </c>
      <c r="B3" s="99">
        <v>1</v>
      </c>
      <c r="C3" s="99"/>
      <c r="D3" s="99">
        <v>2</v>
      </c>
      <c r="E3" s="99">
        <f t="shared" ref="E3:E24" si="0">SUM(B3+C3+D3)</f>
        <v>3</v>
      </c>
    </row>
    <row r="4" spans="1:5">
      <c r="A4" s="80">
        <v>46300</v>
      </c>
      <c r="B4" s="99">
        <v>2</v>
      </c>
      <c r="C4" s="99">
        <v>1</v>
      </c>
      <c r="D4" s="99">
        <v>2</v>
      </c>
      <c r="E4" s="99">
        <f t="shared" si="0"/>
        <v>5</v>
      </c>
    </row>
    <row r="5" spans="1:5">
      <c r="A5" s="80">
        <v>46301</v>
      </c>
      <c r="B5" s="99">
        <v>2</v>
      </c>
      <c r="C5" s="99"/>
      <c r="D5" s="99"/>
      <c r="E5" s="99">
        <f t="shared" si="0"/>
        <v>2</v>
      </c>
    </row>
    <row r="6" spans="1:5">
      <c r="A6" s="80">
        <v>46302</v>
      </c>
      <c r="B6" s="99">
        <v>1</v>
      </c>
      <c r="C6" s="99">
        <v>1</v>
      </c>
      <c r="D6" s="99"/>
      <c r="E6" s="99">
        <f t="shared" si="0"/>
        <v>2</v>
      </c>
    </row>
    <row r="7" spans="1:5">
      <c r="A7" s="80">
        <v>46303</v>
      </c>
      <c r="B7" s="99">
        <v>1</v>
      </c>
      <c r="C7" s="99">
        <v>1</v>
      </c>
      <c r="D7" s="99">
        <v>1</v>
      </c>
      <c r="E7" s="99">
        <f t="shared" si="0"/>
        <v>3</v>
      </c>
    </row>
    <row r="8" spans="1:5">
      <c r="A8" s="80">
        <v>46304</v>
      </c>
      <c r="B8" s="99"/>
      <c r="C8" s="99"/>
      <c r="D8" s="99"/>
      <c r="E8" s="99">
        <f t="shared" si="0"/>
        <v>0</v>
      </c>
    </row>
    <row r="9" spans="1:5">
      <c r="A9" s="80">
        <v>46307</v>
      </c>
      <c r="B9" s="99"/>
      <c r="C9" s="99"/>
      <c r="D9" s="99"/>
      <c r="E9" s="99">
        <f t="shared" si="0"/>
        <v>0</v>
      </c>
    </row>
    <row r="10" spans="1:5">
      <c r="A10" s="80">
        <v>46308</v>
      </c>
      <c r="B10" s="99"/>
      <c r="C10" s="99"/>
      <c r="D10" s="99"/>
      <c r="E10" s="99">
        <f t="shared" si="0"/>
        <v>0</v>
      </c>
    </row>
    <row r="11" spans="1:5">
      <c r="A11" s="80">
        <v>46309</v>
      </c>
      <c r="B11" s="99"/>
      <c r="C11" s="99"/>
      <c r="D11" s="99"/>
      <c r="E11" s="99">
        <f t="shared" si="0"/>
        <v>0</v>
      </c>
    </row>
    <row r="12" spans="1:5">
      <c r="A12" s="80">
        <v>46310</v>
      </c>
      <c r="B12" s="99"/>
      <c r="C12" s="99"/>
      <c r="D12" s="99"/>
      <c r="E12" s="99">
        <f t="shared" si="0"/>
        <v>0</v>
      </c>
    </row>
    <row r="13" spans="1:5">
      <c r="A13" s="80">
        <v>46311</v>
      </c>
      <c r="B13" s="99"/>
      <c r="C13" s="99"/>
      <c r="D13" s="99"/>
      <c r="E13" s="99">
        <f t="shared" si="0"/>
        <v>0</v>
      </c>
    </row>
    <row r="14" spans="1:5">
      <c r="A14" s="80">
        <v>46314</v>
      </c>
      <c r="B14" s="99"/>
      <c r="C14" s="99"/>
      <c r="D14" s="99"/>
      <c r="E14" s="99">
        <f t="shared" si="0"/>
        <v>0</v>
      </c>
    </row>
    <row r="15" spans="1:5">
      <c r="A15" s="80">
        <v>46315</v>
      </c>
      <c r="B15" s="99"/>
      <c r="C15" s="99"/>
      <c r="D15" s="99"/>
      <c r="E15" s="99">
        <f t="shared" si="0"/>
        <v>0</v>
      </c>
    </row>
    <row r="16" spans="1:5">
      <c r="A16" s="80">
        <v>46316</v>
      </c>
      <c r="B16" s="99"/>
      <c r="C16" s="99"/>
      <c r="D16" s="99"/>
      <c r="E16" s="99">
        <f t="shared" si="0"/>
        <v>0</v>
      </c>
    </row>
    <row r="17" spans="1:28">
      <c r="A17" s="80">
        <v>46317</v>
      </c>
      <c r="B17" s="99"/>
      <c r="C17" s="99"/>
      <c r="D17" s="99"/>
      <c r="E17" s="99">
        <f t="shared" si="0"/>
        <v>0</v>
      </c>
    </row>
    <row r="18" spans="1:28">
      <c r="A18" s="80">
        <v>46318</v>
      </c>
      <c r="B18" s="99"/>
      <c r="C18" s="99"/>
      <c r="D18" s="99"/>
      <c r="E18" s="99">
        <f t="shared" si="0"/>
        <v>0</v>
      </c>
    </row>
    <row r="19" spans="1:28">
      <c r="A19" s="80">
        <v>46321</v>
      </c>
      <c r="B19" s="99"/>
      <c r="C19" s="99"/>
      <c r="D19" s="99"/>
      <c r="E19" s="99">
        <f t="shared" si="0"/>
        <v>0</v>
      </c>
    </row>
    <row r="20" spans="1:28">
      <c r="A20" s="80">
        <v>46322</v>
      </c>
      <c r="B20" s="99"/>
      <c r="C20" s="99"/>
      <c r="D20" s="99"/>
      <c r="E20" s="99">
        <f t="shared" si="0"/>
        <v>0</v>
      </c>
    </row>
    <row r="21" spans="1:28">
      <c r="A21" s="80">
        <v>46323</v>
      </c>
      <c r="B21" s="99"/>
      <c r="C21" s="99"/>
      <c r="D21" s="99"/>
      <c r="E21" s="99">
        <f t="shared" si="0"/>
        <v>0</v>
      </c>
    </row>
    <row r="22" spans="1:28">
      <c r="A22" s="80">
        <v>46324</v>
      </c>
      <c r="B22" s="99"/>
      <c r="C22" s="99"/>
      <c r="D22" s="99"/>
      <c r="E22" s="99">
        <f t="shared" si="0"/>
        <v>0</v>
      </c>
    </row>
    <row r="23" spans="1:28">
      <c r="A23" s="80">
        <v>46325</v>
      </c>
      <c r="B23" s="99"/>
      <c r="C23" s="99"/>
      <c r="D23" s="99"/>
      <c r="E23" s="99">
        <f t="shared" si="0"/>
        <v>0</v>
      </c>
    </row>
    <row r="24" spans="1:28">
      <c r="B24" s="99"/>
      <c r="C24" s="99"/>
      <c r="D24" s="99"/>
      <c r="E24" s="99">
        <f t="shared" si="0"/>
        <v>0</v>
      </c>
    </row>
    <row r="25" spans="1:28">
      <c r="D25" s="99" t="s">
        <v>430</v>
      </c>
      <c r="E25" s="99">
        <f>SUM(E3:E24)</f>
        <v>15</v>
      </c>
    </row>
    <row r="29" spans="1:28" s="79" customFormat="1" ht="190.5" customHeight="1">
      <c r="A29" s="103" t="s">
        <v>1</v>
      </c>
      <c r="B29" s="103" t="s">
        <v>5</v>
      </c>
      <c r="C29" s="45" t="s">
        <v>6</v>
      </c>
      <c r="D29" s="103" t="s">
        <v>7</v>
      </c>
      <c r="E29" s="103" t="s">
        <v>1710</v>
      </c>
      <c r="F29" s="46" t="s">
        <v>275</v>
      </c>
      <c r="G29" s="46" t="s">
        <v>10</v>
      </c>
      <c r="H29" s="47" t="s">
        <v>11</v>
      </c>
      <c r="I29" s="103" t="s">
        <v>12</v>
      </c>
      <c r="J29" s="46" t="s">
        <v>13</v>
      </c>
      <c r="K29" s="103" t="s">
        <v>12</v>
      </c>
      <c r="L29" s="46" t="s">
        <v>15</v>
      </c>
      <c r="M29" s="46" t="s">
        <v>16</v>
      </c>
      <c r="N29" s="46" t="s">
        <v>17</v>
      </c>
      <c r="O29" s="46" t="s">
        <v>18</v>
      </c>
      <c r="P29" s="103" t="s">
        <v>19</v>
      </c>
      <c r="Q29" s="103" t="s">
        <v>20</v>
      </c>
      <c r="R29" s="103" t="s">
        <v>21</v>
      </c>
      <c r="S29" s="46" t="s">
        <v>22</v>
      </c>
      <c r="T29" s="46" t="s">
        <v>23</v>
      </c>
      <c r="U29" s="46" t="s">
        <v>24</v>
      </c>
      <c r="V29" s="46" t="s">
        <v>982</v>
      </c>
      <c r="W29" s="46" t="s">
        <v>25</v>
      </c>
      <c r="X29" s="46" t="s">
        <v>26</v>
      </c>
      <c r="Y29" s="46" t="s">
        <v>27</v>
      </c>
      <c r="Z29" s="46" t="s">
        <v>28</v>
      </c>
      <c r="AA29" s="46" t="s">
        <v>29</v>
      </c>
      <c r="AB29" s="46" t="s">
        <v>1172</v>
      </c>
    </row>
    <row r="30" spans="1:28">
      <c r="A30" s="98">
        <v>46296</v>
      </c>
      <c r="B30" s="99" t="s">
        <v>1711</v>
      </c>
      <c r="C30" s="99">
        <v>7708022741</v>
      </c>
      <c r="D30" s="99" t="s">
        <v>1712</v>
      </c>
      <c r="E30" s="98" t="s">
        <v>48</v>
      </c>
      <c r="F30" s="99" t="s">
        <v>33</v>
      </c>
      <c r="G30" s="99" t="s">
        <v>33</v>
      </c>
      <c r="H30" s="99"/>
      <c r="I30" s="99"/>
      <c r="J30" s="99"/>
      <c r="K30" s="99"/>
      <c r="L30" s="99" t="s">
        <v>33</v>
      </c>
      <c r="M30" s="99" t="s">
        <v>33</v>
      </c>
      <c r="N30" s="49" t="s">
        <v>33</v>
      </c>
      <c r="O30" s="49" t="s">
        <v>33</v>
      </c>
      <c r="P30" s="99" t="s">
        <v>578</v>
      </c>
      <c r="Q30" s="99" t="s">
        <v>1713</v>
      </c>
      <c r="R30" s="99" t="s">
        <v>1714</v>
      </c>
      <c r="S30" s="99" t="s">
        <v>33</v>
      </c>
      <c r="T30" s="99" t="s">
        <v>33</v>
      </c>
      <c r="U30" s="99"/>
      <c r="V30" s="99"/>
      <c r="W30" s="99"/>
      <c r="X30" s="99"/>
      <c r="Y30" s="99"/>
      <c r="Z30" s="99"/>
      <c r="AA30" s="99"/>
      <c r="AB30" s="99"/>
    </row>
    <row r="31" spans="1:28">
      <c r="A31" s="98">
        <v>46296</v>
      </c>
      <c r="B31" s="99" t="s">
        <v>1715</v>
      </c>
      <c r="C31" s="99">
        <v>6379215522</v>
      </c>
      <c r="D31" s="99" t="s">
        <v>1716</v>
      </c>
      <c r="E31" s="98" t="s">
        <v>48</v>
      </c>
      <c r="F31" s="99" t="s">
        <v>33</v>
      </c>
      <c r="G31" s="99" t="s">
        <v>33</v>
      </c>
      <c r="H31" s="99"/>
      <c r="I31" s="99"/>
      <c r="J31" s="99"/>
      <c r="K31" s="99"/>
      <c r="L31" s="99" t="s">
        <v>33</v>
      </c>
      <c r="M31" s="99" t="s">
        <v>33</v>
      </c>
      <c r="N31" s="49" t="s">
        <v>33</v>
      </c>
      <c r="O31" s="49" t="s">
        <v>33</v>
      </c>
      <c r="P31" s="99" t="s">
        <v>1717</v>
      </c>
      <c r="Q31" s="99" t="s">
        <v>1718</v>
      </c>
      <c r="R31" s="99" t="s">
        <v>1719</v>
      </c>
      <c r="S31" s="99" t="s">
        <v>33</v>
      </c>
      <c r="T31" s="99" t="s">
        <v>33</v>
      </c>
      <c r="U31" s="99"/>
      <c r="V31" s="99"/>
      <c r="W31" s="99"/>
      <c r="X31" s="99"/>
      <c r="Y31" s="99"/>
      <c r="Z31" s="99"/>
      <c r="AA31" s="99"/>
      <c r="AB31" s="99"/>
    </row>
    <row r="32" spans="1:28">
      <c r="A32" s="98">
        <v>46296</v>
      </c>
      <c r="B32" s="99" t="s">
        <v>1720</v>
      </c>
      <c r="C32" s="99">
        <v>7358589914</v>
      </c>
      <c r="D32" s="99" t="s">
        <v>1721</v>
      </c>
      <c r="E32" s="98" t="s">
        <v>48</v>
      </c>
      <c r="F32" s="99" t="s">
        <v>33</v>
      </c>
      <c r="G32" s="99" t="s">
        <v>33</v>
      </c>
      <c r="H32" s="99"/>
      <c r="I32" s="99"/>
      <c r="J32" s="99"/>
      <c r="K32" s="99"/>
      <c r="L32" s="99" t="s">
        <v>33</v>
      </c>
      <c r="M32" s="99" t="s">
        <v>33</v>
      </c>
      <c r="N32" s="49" t="s">
        <v>33</v>
      </c>
      <c r="O32" s="49" t="s">
        <v>33</v>
      </c>
      <c r="P32" s="99" t="s">
        <v>1722</v>
      </c>
      <c r="Q32" s="99" t="s">
        <v>1723</v>
      </c>
      <c r="R32" s="99" t="s">
        <v>1724</v>
      </c>
      <c r="S32" s="99" t="s">
        <v>33</v>
      </c>
      <c r="T32" s="99"/>
      <c r="U32" s="99"/>
      <c r="V32" s="99"/>
      <c r="W32" s="99"/>
      <c r="X32" s="99"/>
      <c r="Y32" s="99"/>
      <c r="Z32" s="99"/>
      <c r="AA32" s="99"/>
      <c r="AB32" s="99"/>
    </row>
    <row r="33" spans="1:28">
      <c r="A33" s="98">
        <v>46300</v>
      </c>
      <c r="B33" s="98" t="s">
        <v>1725</v>
      </c>
      <c r="C33" s="88">
        <v>9884429791</v>
      </c>
      <c r="D33" s="98" t="s">
        <v>1726</v>
      </c>
      <c r="E33" s="98" t="s">
        <v>25</v>
      </c>
      <c r="F33" s="98" t="s">
        <v>33</v>
      </c>
      <c r="G33" s="98" t="s">
        <v>33</v>
      </c>
      <c r="H33" s="99"/>
      <c r="I33" s="99"/>
      <c r="J33" s="99"/>
      <c r="K33" s="99"/>
      <c r="L33" s="99" t="s">
        <v>33</v>
      </c>
      <c r="M33" s="99" t="s">
        <v>33</v>
      </c>
      <c r="N33" s="49" t="s">
        <v>33</v>
      </c>
      <c r="O33" s="49" t="s">
        <v>33</v>
      </c>
      <c r="P33" s="99"/>
      <c r="Q33" s="99"/>
      <c r="R33" s="99"/>
      <c r="S33" s="99"/>
      <c r="T33" s="99"/>
      <c r="U33" s="99"/>
      <c r="V33" s="99"/>
      <c r="W33" s="99"/>
      <c r="X33" s="99"/>
      <c r="Y33" s="99"/>
      <c r="Z33" s="99"/>
      <c r="AA33" s="99"/>
      <c r="AB33" s="99"/>
    </row>
    <row r="34" spans="1:28" ht="15.75" customHeight="1" thickBot="1">
      <c r="A34" s="98">
        <v>46300</v>
      </c>
      <c r="B34" s="98" t="s">
        <v>1727</v>
      </c>
      <c r="C34" s="88">
        <v>9941547404</v>
      </c>
      <c r="D34" s="98" t="s">
        <v>688</v>
      </c>
      <c r="E34" s="98" t="s">
        <v>43</v>
      </c>
      <c r="F34" s="98" t="s">
        <v>33</v>
      </c>
      <c r="G34" s="98" t="s">
        <v>33</v>
      </c>
      <c r="H34" s="99"/>
      <c r="I34" s="99"/>
      <c r="J34" s="99"/>
      <c r="K34" s="99"/>
      <c r="L34" s="99" t="s">
        <v>33</v>
      </c>
      <c r="M34" s="99" t="s">
        <v>33</v>
      </c>
      <c r="N34" s="49" t="s">
        <v>33</v>
      </c>
      <c r="O34" s="49" t="s">
        <v>33</v>
      </c>
      <c r="P34" s="99"/>
      <c r="Q34" s="99"/>
      <c r="R34" s="99" t="s">
        <v>692</v>
      </c>
      <c r="S34" s="99" t="s">
        <v>33</v>
      </c>
      <c r="T34" s="99"/>
      <c r="U34" s="99"/>
      <c r="V34" s="99" t="s">
        <v>33</v>
      </c>
      <c r="W34" s="99" t="s">
        <v>33</v>
      </c>
      <c r="X34" s="99"/>
      <c r="Y34" s="99"/>
      <c r="Z34" s="99"/>
      <c r="AA34" s="99"/>
      <c r="AB34" s="99"/>
    </row>
    <row r="35" spans="1:28" ht="26.25" customHeight="1" thickBot="1">
      <c r="A35" s="98">
        <v>46300</v>
      </c>
      <c r="B35" s="98" t="s">
        <v>1728</v>
      </c>
      <c r="C35" s="88">
        <v>9003423130</v>
      </c>
      <c r="D35" s="98" t="s">
        <v>1729</v>
      </c>
      <c r="E35" s="98" t="s">
        <v>55</v>
      </c>
      <c r="F35" s="98" t="s">
        <v>33</v>
      </c>
      <c r="G35" s="98" t="s">
        <v>33</v>
      </c>
      <c r="H35" s="99"/>
      <c r="I35" s="99"/>
      <c r="J35" s="99"/>
      <c r="K35" s="99"/>
      <c r="L35" s="99" t="s">
        <v>33</v>
      </c>
      <c r="M35" s="99" t="s">
        <v>33</v>
      </c>
      <c r="N35" s="49" t="s">
        <v>33</v>
      </c>
      <c r="O35" s="49" t="s">
        <v>33</v>
      </c>
      <c r="P35" s="100" t="s">
        <v>1116</v>
      </c>
      <c r="Q35" s="101" t="s">
        <v>1730</v>
      </c>
      <c r="R35" s="99" t="s">
        <v>1731</v>
      </c>
      <c r="S35" s="99" t="s">
        <v>33</v>
      </c>
      <c r="T35" s="99"/>
      <c r="U35" s="99"/>
      <c r="V35" s="99"/>
      <c r="W35" s="99"/>
      <c r="X35" s="99"/>
      <c r="Y35" s="99"/>
      <c r="Z35" s="99"/>
      <c r="AA35" s="99"/>
      <c r="AB35" s="99"/>
    </row>
    <row r="36" spans="1:28">
      <c r="A36" s="98">
        <v>46300</v>
      </c>
      <c r="B36" s="98" t="s">
        <v>1732</v>
      </c>
      <c r="C36" s="88">
        <v>9398336648</v>
      </c>
      <c r="D36" s="98" t="s">
        <v>1733</v>
      </c>
      <c r="E36" s="98" t="s">
        <v>48</v>
      </c>
      <c r="F36" s="98" t="s">
        <v>33</v>
      </c>
      <c r="G36" s="98" t="s">
        <v>37</v>
      </c>
      <c r="H36" s="99"/>
      <c r="I36" s="99"/>
      <c r="J36" s="99"/>
      <c r="K36" s="99"/>
      <c r="L36" s="99" t="s">
        <v>33</v>
      </c>
      <c r="M36" s="99" t="s">
        <v>33</v>
      </c>
      <c r="N36" s="49" t="s">
        <v>33</v>
      </c>
      <c r="O36" s="49" t="s">
        <v>33</v>
      </c>
      <c r="P36" s="99"/>
      <c r="Q36" s="99"/>
      <c r="R36" s="99" t="s">
        <v>1734</v>
      </c>
      <c r="S36" s="99" t="s">
        <v>33</v>
      </c>
      <c r="T36" s="99"/>
      <c r="U36" s="99"/>
      <c r="V36" s="99"/>
      <c r="W36" s="99"/>
      <c r="X36" s="99"/>
      <c r="Y36" s="99" t="s">
        <v>33</v>
      </c>
      <c r="Z36" s="99"/>
      <c r="AA36" s="99"/>
      <c r="AB36" s="99" t="s">
        <v>33</v>
      </c>
    </row>
    <row r="37" spans="1:28">
      <c r="A37" s="98">
        <v>46300</v>
      </c>
      <c r="B37" s="98" t="s">
        <v>1735</v>
      </c>
      <c r="C37" s="88">
        <v>9942294642</v>
      </c>
      <c r="D37" s="98" t="s">
        <v>1736</v>
      </c>
      <c r="E37" s="98" t="s">
        <v>25</v>
      </c>
      <c r="F37" s="98" t="s">
        <v>33</v>
      </c>
      <c r="G37" s="98" t="s">
        <v>33</v>
      </c>
      <c r="H37" s="98" t="s">
        <v>33</v>
      </c>
      <c r="I37" s="39" t="s">
        <v>67</v>
      </c>
      <c r="J37" s="99"/>
      <c r="K37" s="99"/>
      <c r="L37" s="99" t="s">
        <v>33</v>
      </c>
      <c r="M37" s="99" t="s">
        <v>33</v>
      </c>
      <c r="N37" s="49" t="s">
        <v>33</v>
      </c>
      <c r="O37" s="49" t="s">
        <v>33</v>
      </c>
      <c r="P37" s="39" t="s">
        <v>153</v>
      </c>
      <c r="Q37" s="39" t="s">
        <v>1737</v>
      </c>
      <c r="R37" s="99" t="s">
        <v>1738</v>
      </c>
      <c r="S37" s="99" t="s">
        <v>33</v>
      </c>
      <c r="T37" s="99"/>
      <c r="U37" s="99"/>
      <c r="V37" s="99"/>
      <c r="W37" s="99"/>
      <c r="X37" s="99"/>
      <c r="Y37" s="99"/>
      <c r="Z37" s="99"/>
      <c r="AA37" s="99"/>
      <c r="AB37" s="99"/>
    </row>
    <row r="38" spans="1:28">
      <c r="A38" s="98">
        <v>46301</v>
      </c>
      <c r="B38" s="98" t="s">
        <v>1739</v>
      </c>
      <c r="C38" s="88">
        <v>8429296437</v>
      </c>
      <c r="D38" s="98" t="s">
        <v>1740</v>
      </c>
      <c r="E38" s="98" t="s">
        <v>48</v>
      </c>
      <c r="F38" s="99" t="s">
        <v>33</v>
      </c>
      <c r="G38" s="99"/>
      <c r="H38" s="99"/>
      <c r="I38" s="99"/>
      <c r="J38" s="99"/>
      <c r="K38" s="99"/>
      <c r="L38" s="99" t="s">
        <v>33</v>
      </c>
      <c r="M38" s="99" t="s">
        <v>33</v>
      </c>
      <c r="N38" s="49" t="s">
        <v>33</v>
      </c>
      <c r="O38" s="49" t="s">
        <v>33</v>
      </c>
      <c r="P38" s="99"/>
      <c r="Q38" s="99"/>
      <c r="R38" s="99"/>
      <c r="S38" s="99"/>
      <c r="T38" s="99"/>
      <c r="U38" s="99"/>
      <c r="V38" s="99"/>
      <c r="W38" s="99"/>
      <c r="X38" s="99"/>
      <c r="Y38" s="99"/>
      <c r="Z38" s="99"/>
      <c r="AA38" s="99"/>
      <c r="AB38" s="99"/>
    </row>
    <row r="39" spans="1:28">
      <c r="A39" s="98">
        <v>46301</v>
      </c>
      <c r="B39" s="98" t="s">
        <v>1741</v>
      </c>
      <c r="C39" s="88">
        <v>9344196228</v>
      </c>
      <c r="D39" s="98" t="s">
        <v>1742</v>
      </c>
      <c r="E39" s="98" t="s">
        <v>48</v>
      </c>
      <c r="F39" s="99" t="s">
        <v>33</v>
      </c>
      <c r="G39" s="99"/>
      <c r="H39" s="99" t="s">
        <v>33</v>
      </c>
      <c r="I39" s="18" t="s">
        <v>1743</v>
      </c>
      <c r="J39" s="99"/>
      <c r="K39" s="99"/>
      <c r="L39" s="99" t="s">
        <v>33</v>
      </c>
      <c r="M39" s="99" t="s">
        <v>33</v>
      </c>
      <c r="N39" s="49" t="s">
        <v>33</v>
      </c>
      <c r="O39" s="49" t="s">
        <v>33</v>
      </c>
      <c r="P39" s="18" t="s">
        <v>1744</v>
      </c>
      <c r="Q39" s="18" t="s">
        <v>465</v>
      </c>
      <c r="R39" s="99"/>
      <c r="S39" s="99"/>
      <c r="T39" s="99"/>
      <c r="U39" s="99"/>
      <c r="V39" s="99"/>
      <c r="W39" s="99"/>
      <c r="X39" s="99"/>
      <c r="Y39" s="99"/>
      <c r="Z39" s="99"/>
      <c r="AA39" s="99"/>
      <c r="AB39" s="99"/>
    </row>
    <row r="40" spans="1:28">
      <c r="A40" s="98">
        <v>46301</v>
      </c>
      <c r="B40" s="98" t="s">
        <v>1745</v>
      </c>
      <c r="C40" s="88">
        <v>9199140214</v>
      </c>
      <c r="D40" s="98" t="s">
        <v>1746</v>
      </c>
      <c r="E40" s="98" t="s">
        <v>86</v>
      </c>
      <c r="F40" s="99" t="s">
        <v>37</v>
      </c>
      <c r="G40" s="99"/>
      <c r="H40" s="99"/>
      <c r="L40" s="99" t="s">
        <v>33</v>
      </c>
      <c r="M40" s="99" t="s">
        <v>33</v>
      </c>
      <c r="N40" s="49" t="s">
        <v>33</v>
      </c>
      <c r="O40" s="49" t="s">
        <v>33</v>
      </c>
      <c r="Q40" s="99"/>
      <c r="R40" s="99"/>
      <c r="S40" s="99"/>
      <c r="T40" s="99"/>
      <c r="U40" s="99"/>
      <c r="V40" s="99"/>
      <c r="W40" s="99"/>
      <c r="X40" s="99"/>
      <c r="Y40" s="99"/>
      <c r="Z40" s="99"/>
      <c r="AA40" s="99"/>
      <c r="AB40" s="99"/>
    </row>
    <row r="41" spans="1:28">
      <c r="A41" s="98">
        <v>46302</v>
      </c>
      <c r="B41" s="99" t="s">
        <v>1747</v>
      </c>
      <c r="C41" s="88">
        <v>7675962550</v>
      </c>
      <c r="D41" s="99" t="s">
        <v>1748</v>
      </c>
      <c r="E41" s="98" t="s">
        <v>48</v>
      </c>
      <c r="F41" s="99" t="s">
        <v>33</v>
      </c>
      <c r="G41" s="99"/>
      <c r="H41" s="99" t="s">
        <v>33</v>
      </c>
      <c r="I41" s="18" t="s">
        <v>1749</v>
      </c>
      <c r="J41" s="99"/>
      <c r="K41" s="99"/>
      <c r="L41" s="99" t="s">
        <v>33</v>
      </c>
      <c r="M41" s="99" t="s">
        <v>33</v>
      </c>
      <c r="N41" s="49" t="s">
        <v>33</v>
      </c>
      <c r="O41" s="49" t="s">
        <v>33</v>
      </c>
      <c r="P41" s="18" t="s">
        <v>1750</v>
      </c>
      <c r="Q41" s="18" t="s">
        <v>465</v>
      </c>
      <c r="R41" s="99" t="s">
        <v>1751</v>
      </c>
      <c r="S41" s="99" t="s">
        <v>33</v>
      </c>
      <c r="T41" s="99"/>
      <c r="U41" s="99"/>
      <c r="V41" s="99"/>
      <c r="W41" s="99"/>
      <c r="X41" s="99"/>
      <c r="Y41" s="99"/>
      <c r="Z41" s="99"/>
      <c r="AA41" s="99"/>
      <c r="AB41" s="99"/>
    </row>
    <row r="42" spans="1:28">
      <c r="A42" s="98">
        <v>46302</v>
      </c>
      <c r="B42" s="99" t="s">
        <v>1557</v>
      </c>
      <c r="C42" s="88">
        <v>8883069431</v>
      </c>
      <c r="D42" s="99" t="s">
        <v>1535</v>
      </c>
      <c r="E42" s="98" t="s">
        <v>25</v>
      </c>
      <c r="F42" s="99" t="s">
        <v>1752</v>
      </c>
      <c r="G42" s="99"/>
      <c r="H42" s="99" t="s">
        <v>33</v>
      </c>
      <c r="I42" s="18" t="s">
        <v>482</v>
      </c>
      <c r="J42" s="99"/>
      <c r="K42" s="99"/>
      <c r="L42" s="99" t="s">
        <v>33</v>
      </c>
      <c r="M42" s="99" t="s">
        <v>33</v>
      </c>
      <c r="N42" s="49" t="s">
        <v>33</v>
      </c>
      <c r="O42" s="49" t="s">
        <v>33</v>
      </c>
      <c r="P42" s="18" t="s">
        <v>1536</v>
      </c>
      <c r="Q42" s="18" t="s">
        <v>1537</v>
      </c>
      <c r="R42" s="99" t="s">
        <v>1538</v>
      </c>
      <c r="S42" s="49" t="s">
        <v>33</v>
      </c>
      <c r="T42" s="99"/>
      <c r="U42" s="99"/>
      <c r="V42" s="99"/>
      <c r="W42" s="99"/>
      <c r="X42" s="99"/>
      <c r="Y42" s="99"/>
      <c r="Z42" s="99"/>
      <c r="AA42" s="99"/>
      <c r="AB42" s="99"/>
    </row>
    <row r="43" spans="1:28">
      <c r="A43" s="98">
        <v>46303</v>
      </c>
      <c r="B43" s="99" t="s">
        <v>1741</v>
      </c>
      <c r="C43" s="88">
        <v>9344196228</v>
      </c>
      <c r="D43" s="99" t="s">
        <v>1742</v>
      </c>
      <c r="E43" s="99" t="s">
        <v>48</v>
      </c>
      <c r="F43" s="99" t="s">
        <v>62</v>
      </c>
      <c r="G43" s="99" t="s">
        <v>37</v>
      </c>
      <c r="H43" s="99"/>
      <c r="I43" s="99"/>
      <c r="J43" s="99"/>
      <c r="K43" s="99"/>
      <c r="L43" s="99" t="s">
        <v>33</v>
      </c>
      <c r="M43" s="99" t="s">
        <v>33</v>
      </c>
      <c r="N43" s="49" t="s">
        <v>33</v>
      </c>
      <c r="O43" s="49" t="s">
        <v>33</v>
      </c>
      <c r="P43" s="99"/>
      <c r="Q43" s="99"/>
      <c r="R43" s="99"/>
      <c r="S43" s="99"/>
      <c r="T43" s="99"/>
      <c r="U43" s="99"/>
      <c r="V43" s="99"/>
      <c r="W43" s="99"/>
      <c r="X43" s="99"/>
      <c r="Y43" s="99"/>
      <c r="Z43" s="99"/>
      <c r="AA43" s="99"/>
      <c r="AB43" s="99"/>
    </row>
    <row r="44" spans="1:28">
      <c r="A44" s="98">
        <v>46303</v>
      </c>
      <c r="B44" s="99" t="s">
        <v>1221</v>
      </c>
      <c r="C44" s="88">
        <v>9840876725</v>
      </c>
      <c r="D44" s="99" t="s">
        <v>1222</v>
      </c>
      <c r="E44" s="98" t="s">
        <v>25</v>
      </c>
      <c r="F44" s="99" t="s">
        <v>62</v>
      </c>
      <c r="G44" s="99"/>
      <c r="H44" s="99"/>
      <c r="I44" s="99"/>
      <c r="J44" s="99"/>
      <c r="K44" s="99"/>
      <c r="L44" s="99" t="s">
        <v>33</v>
      </c>
      <c r="M44" s="99" t="s">
        <v>33</v>
      </c>
      <c r="N44" s="49" t="s">
        <v>33</v>
      </c>
      <c r="O44" s="49" t="s">
        <v>33</v>
      </c>
      <c r="P44" s="99"/>
      <c r="Q44" s="99"/>
      <c r="R44" s="99" t="s">
        <v>1224</v>
      </c>
      <c r="S44" s="99" t="s">
        <v>33</v>
      </c>
      <c r="T44" s="99"/>
      <c r="U44" s="99"/>
      <c r="V44" s="99"/>
      <c r="W44" s="99"/>
      <c r="X44" s="99"/>
      <c r="Y44" s="99"/>
      <c r="Z44" s="99"/>
      <c r="AA44" s="99"/>
      <c r="AB44" s="99"/>
    </row>
    <row r="45" spans="1:28">
      <c r="A45" s="98">
        <v>46303</v>
      </c>
      <c r="B45" s="98" t="s">
        <v>1739</v>
      </c>
      <c r="C45" s="88">
        <v>8429296437</v>
      </c>
      <c r="D45" s="98" t="s">
        <v>1740</v>
      </c>
      <c r="E45" s="98" t="s">
        <v>48</v>
      </c>
      <c r="F45" s="99" t="s">
        <v>62</v>
      </c>
      <c r="G45" s="99"/>
      <c r="H45" s="99" t="s">
        <v>33</v>
      </c>
      <c r="I45" s="99" t="s">
        <v>1753</v>
      </c>
      <c r="J45" s="99"/>
      <c r="K45" s="99"/>
      <c r="L45" s="99" t="s">
        <v>33</v>
      </c>
      <c r="M45" s="99" t="s">
        <v>33</v>
      </c>
      <c r="N45" s="49" t="s">
        <v>33</v>
      </c>
      <c r="O45" s="49" t="s">
        <v>33</v>
      </c>
      <c r="P45" s="99" t="s">
        <v>1754</v>
      </c>
      <c r="Q45" s="99" t="s">
        <v>465</v>
      </c>
      <c r="R45" s="99" t="s">
        <v>1755</v>
      </c>
      <c r="S45" s="99" t="s">
        <v>33</v>
      </c>
      <c r="T45" s="99"/>
      <c r="U45" s="99"/>
      <c r="V45" s="99"/>
      <c r="W45" s="99"/>
      <c r="X45" s="99"/>
      <c r="Y45" s="99"/>
      <c r="Z45" s="99"/>
      <c r="AA45" s="99"/>
      <c r="AB45" s="99"/>
    </row>
    <row r="46" spans="1:28">
      <c r="A46" s="98">
        <v>46304</v>
      </c>
      <c r="B46" s="98" t="s">
        <v>1720</v>
      </c>
      <c r="C46" s="88">
        <v>7358589914</v>
      </c>
      <c r="D46" s="98" t="s">
        <v>1756</v>
      </c>
      <c r="E46" s="98" t="s">
        <v>48</v>
      </c>
      <c r="F46" s="99" t="s">
        <v>62</v>
      </c>
      <c r="G46" s="99" t="s">
        <v>33</v>
      </c>
      <c r="H46" s="99"/>
      <c r="I46" s="99"/>
      <c r="J46" s="99"/>
      <c r="K46" s="99"/>
      <c r="L46" s="99"/>
      <c r="M46" s="99" t="s">
        <v>33</v>
      </c>
      <c r="N46" s="99"/>
      <c r="O46" s="99"/>
      <c r="P46" s="99"/>
      <c r="Q46" s="99"/>
      <c r="R46" s="99"/>
      <c r="S46" s="99"/>
      <c r="T46" s="99"/>
      <c r="U46" s="99"/>
      <c r="V46" s="99"/>
      <c r="W46" s="99"/>
      <c r="X46" s="99"/>
      <c r="Y46" s="99"/>
      <c r="Z46" s="99"/>
      <c r="AA46" s="99"/>
      <c r="AB46" s="99"/>
    </row>
    <row r="47" spans="1:28">
      <c r="A47" s="98">
        <v>46304</v>
      </c>
      <c r="B47" s="98" t="s">
        <v>1757</v>
      </c>
      <c r="C47" s="88"/>
      <c r="D47" s="98" t="s">
        <v>1758</v>
      </c>
      <c r="E47" s="98" t="s">
        <v>48</v>
      </c>
      <c r="F47" s="99" t="s">
        <v>33</v>
      </c>
      <c r="G47" s="99"/>
      <c r="H47" s="99"/>
      <c r="I47" s="99"/>
      <c r="J47" s="99"/>
      <c r="K47" s="99"/>
      <c r="L47" s="99"/>
      <c r="M47" s="99" t="s">
        <v>33</v>
      </c>
      <c r="N47" s="99"/>
      <c r="O47" s="99"/>
      <c r="P47" s="99"/>
      <c r="Q47" s="99"/>
      <c r="R47" s="99" t="s">
        <v>1759</v>
      </c>
      <c r="S47" s="99" t="s">
        <v>33</v>
      </c>
      <c r="T47" s="99"/>
      <c r="U47" s="99"/>
      <c r="V47" s="99"/>
      <c r="W47" s="99"/>
      <c r="X47" s="99"/>
      <c r="Y47" s="99"/>
      <c r="Z47" s="99"/>
      <c r="AA47" s="99"/>
      <c r="AB47" s="99"/>
    </row>
  </sheetData>
  <autoFilter ref="A29:AB37" xr:uid="{00000000-0009-0000-0000-000009000000}"/>
  <mergeCells count="1">
    <mergeCell ref="A1:E1"/>
  </mergeCells>
  <pageMargins left="0.7" right="0.7" top="0.75" bottom="0.75" header="0.3" footer="0.3"/>
  <pageSetup orientation="portrait"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JAN</vt:lpstr>
      <vt:lpstr>FEB</vt:lpstr>
      <vt:lpstr>MAR</vt:lpstr>
      <vt:lpstr>APR</vt:lpstr>
      <vt:lpstr>May</vt:lpstr>
      <vt:lpstr>JUN</vt:lpstr>
      <vt:lpstr>JUL</vt:lpstr>
      <vt:lpstr>AUG</vt:lpstr>
      <vt:lpstr>SEP</vt:lpstr>
      <vt:lpstr>OCT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SIVA</dc:creator>
  <cp:lastModifiedBy>arishp2004@gmail.com</cp:lastModifiedBy>
  <dcterms:created xsi:type="dcterms:W3CDTF">2026-01-23T14:34:25Z</dcterms:created>
  <dcterms:modified xsi:type="dcterms:W3CDTF">2026-10-10T05:14:43Z</dcterms:modified>
</cp:coreProperties>
</file>